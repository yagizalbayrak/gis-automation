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766fc4df7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79a74976b77d4806"/>
    <x:sheet xmlns:r="http://schemas.openxmlformats.org/officeDocument/2006/relationships" name="Dashboard" sheetId="2" r:id="Rdfe5e15b1b144264"/>
    <x:sheet xmlns:r="http://schemas.openxmlformats.org/officeDocument/2006/relationships" name="Task Board" sheetId="3" r:id="R6daaae1f77ab4506"/>
    <x:sheet xmlns:r="http://schemas.openxmlformats.org/officeDocument/2006/relationships" name="Idea Inbox" sheetId="4" r:id="Ra1d1d4e5c6f0435e"/>
    <x:sheet xmlns:r="http://schemas.openxmlformats.org/officeDocument/2006/relationships" name="Weekly Sync" sheetId="5" r:id="Re184ec9a040745e1"/>
    <x:sheet xmlns:r="http://schemas.openxmlformats.org/officeDocument/2006/relationships" name="Decision Log" sheetId="6" r:id="R75165d6105064e14"/>
    <x:sheet xmlns:r="http://schemas.openxmlformats.org/officeDocument/2006/relationships" name="Risk Issue Log" sheetId="7" r:id="Rfabe9413d752438a"/>
    <x:sheet xmlns:r="http://schemas.openxmlformats.org/officeDocument/2006/relationships" name="Test Demo Log" sheetId="8" r:id="Rc85daae9eef44ede"/>
    <x:sheet xmlns:r="http://schemas.openxmlformats.org/officeDocument/2006/relationships" name="Definition of Done" sheetId="9" r:id="Rbb1a34d9f0534706"/>
    <x:sheet xmlns:r="http://schemas.openxmlformats.org/officeDocument/2006/relationships" name="Lists" sheetId="10" r:id="R4793479d2a54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3">
    <x:font>
      <x:sz val="11"/>
      <x:name val="Carlito"/>
    </x:font>
    <x:font>
      <x:b/>
      <x:sz val="20"/>
      <x:color rgb="FF111827"/>
      <x:name val="Carlito"/>
    </x:font>
    <x:font>
      <x:sz val="10"/>
      <x:color rgb="FF6B7280"/>
      <x:name val="Carlito"/>
    </x:font>
    <x:font>
      <x:b/>
      <x:sz val="11"/>
      <x:color rgb="FF111827"/>
      <x:name val="Carlito"/>
    </x:font>
    <x:font>
      <x:b/>
      <x:sz val="11"/>
      <x:color rgb="FF1D4ED8"/>
      <x:name val="Carlito"/>
    </x:font>
    <x:font>
      <x:b/>
      <x:sz val="14"/>
      <x:name val="Carlito"/>
    </x:font>
    <x:font>
      <x:b/>
      <x:sz val="10"/>
      <x:color rgb="FF111827"/>
      <x:name val="Arial"/>
    </x:font>
    <x:font>
      <x:sz val="10"/>
      <x:name val="Arial"/>
    </x:font>
    <x:font>
      <x:sz val="10"/>
      <x:color rgb="FF6B7280"/>
      <x:name val="Arial"/>
    </x:font>
    <x:font>
      <x:b/>
      <x:sz val="10"/>
      <x:color rgb="FF1D4ED8"/>
      <x:name val="Arial"/>
    </x:font>
    <x:font>
      <x:b/>
      <x:sz val="10"/>
      <x:name val="Arial"/>
    </x:font>
    <x:font>
      <x:b/>
      <x:sz val="22"/>
      <x:color rgb="FF111827"/>
      <x:name val="Arial"/>
    </x:font>
    <x:font>
      <x:b/>
      <x:sz val="18"/>
      <x:color rgb="FF111827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6" borderId="1" xfId="0" applyNumberFormat="1" applyFont="1" applyFill="0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7" borderId="1" xfId="0" applyNumberFormat="1" applyFont="1" applyFill="0" applyBorder="1" applyAlignment="1">
      <x:alignment wrapText="1"/>
    </x:xf>
    <x:xf numFmtId="201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4febfe7084edc" /><Relationship Type="http://schemas.openxmlformats.org/officeDocument/2006/relationships/theme" Target="/xl/theme/theme1.xml" Id="R9ad22e85f5b64f9d" /><Relationship Type="http://schemas.openxmlformats.org/officeDocument/2006/relationships/sharedStrings" Target="/xl/sharedStrings.xml" Id="Rd61aa5b400024d17" /><Relationship Type="http://schemas.openxmlformats.org/officeDocument/2006/relationships/worksheet" Target="/xl/worksheets/sheet1.xml" Id="R79a74976b77d4806" /><Relationship Type="http://schemas.openxmlformats.org/officeDocument/2006/relationships/worksheet" Target="/xl/worksheets/sheet2.xml" Id="Rdfe5e15b1b144264" /><Relationship Type="http://schemas.openxmlformats.org/officeDocument/2006/relationships/worksheet" Target="/xl/worksheets/sheet3.xml" Id="R6daaae1f77ab4506" /><Relationship Type="http://schemas.openxmlformats.org/officeDocument/2006/relationships/worksheet" Target="/xl/worksheets/sheet4.xml" Id="Ra1d1d4e5c6f0435e" /><Relationship Type="http://schemas.openxmlformats.org/officeDocument/2006/relationships/worksheet" Target="/xl/worksheets/sheet5.xml" Id="Re184ec9a040745e1" /><Relationship Type="http://schemas.openxmlformats.org/officeDocument/2006/relationships/worksheet" Target="/xl/worksheets/sheet6.xml" Id="R75165d6105064e14" /><Relationship Type="http://schemas.openxmlformats.org/officeDocument/2006/relationships/worksheet" Target="/xl/worksheets/sheet7.xml" Id="Rfabe9413d752438a" /><Relationship Type="http://schemas.openxmlformats.org/officeDocument/2006/relationships/worksheet" Target="/xl/worksheets/sheet8.xml" Id="Rc85daae9eef44ede" /><Relationship Type="http://schemas.openxmlformats.org/officeDocument/2006/relationships/worksheet" Target="/xl/worksheets/sheet9.xml" Id="Rbb1a34d9f0534706" /><Relationship Type="http://schemas.openxmlformats.org/officeDocument/2006/relationships/worksheet" Target="/xl/worksheets/sheet10.xml" Id="R4793479d2a544d58" /></Relationships>
</file>

<file path=xl/tables/table1.xml><?xml version="1.0" encoding="utf-8"?>
<x:table xmlns:x="http://schemas.openxmlformats.org/spreadsheetml/2006/main" id="1" name="TeamTable" displayName="TeamTable" ref="A4:F7" headerRowCount="1" totalsRowCount="0" totalsRowShown="0">
  <x:autoFilter ref="A4:F7"/>
  <x:tableColumns count="6">
    <x:tableColumn id="1" name="Member"/>
    <x:tableColumn id="2" name="Role"/>
    <x:tableColumn id="3" name="Primary Focus"/>
    <x:tableColumn id="4" name="Contact / Drive Note"/>
    <x:tableColumn id="5" name="Capacity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BoardTable" displayName="TaskBoardTable" ref="A4:M103" headerRowCount="1" totalsRowCount="0" totalsRowShown="0">
  <x:autoFilter ref="A4:M103"/>
  <x:tableColumns count="13">
    <x:tableColumn id="1" name="Task ID"/>
    <x:tableColumn id="2" name="Workstream"/>
    <x:tableColumn id="3" name="Task"/>
    <x:tableColumn id="4" name="Owner"/>
    <x:tableColumn id="5" name="Status"/>
    <x:tableColumn id="6" name="Priority"/>
    <x:tableColumn id="7" name="Start Date"/>
    <x:tableColumn id="8" name="Due Date"/>
    <x:tableColumn id="9" name="Success?"/>
    <x:tableColumn id="10" name="Blocked?"/>
    <x:tableColumn id="11" name="% Done"/>
    <x:tableColumn id="12" name="Next Action"/>
    <x:tableColumn id="13" name="Notes / Lin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deaInboxTable" displayName="IdeaInboxTable" ref="A4:J104" headerRowCount="1" totalsRowCount="0" totalsRowShown="0">
  <x:autoFilter ref="A4:J104"/>
  <x:tableColumns count="10">
    <x:tableColumn id="1" name="Idea ID"/>
    <x:tableColumn id="2" name="Submitted By"/>
    <x:tableColumn id="3" name="Date"/>
    <x:tableColumn id="4" name="Workstream"/>
    <x:tableColumn id="5" name="Idea / Request"/>
    <x:tableColumn id="6" name="Impact"/>
    <x:tableColumn id="7" name="Effort"/>
    <x:tableColumn id="8" name="Decision"/>
    <x:tableColumn id="9" name="Linked Task ID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SyncTable" displayName="WeeklySyncTable" ref="A4:H56" headerRowCount="1" totalsRowCount="0" totalsRowShown="0">
  <x:autoFilter ref="A4:H56"/>
  <x:tableColumns count="8">
    <x:tableColumn id="1" name="Date"/>
    <x:tableColumn id="2" name="Attendees"/>
    <x:tableColumn id="3" name="This Week Goals"/>
    <x:tableColumn id="4" name="Done Since Last Sync"/>
    <x:tableColumn id="5" name="Blockers"/>
    <x:tableColumn id="6" name="Decisions"/>
    <x:tableColumn id="7" name="Next Owner Actions"/>
    <x:tableColumn id="8" name="Heal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LogTable" displayName="DecisionLogTable" ref="A4:I104" headerRowCount="1" totalsRowCount="0" totalsRowShown="0">
  <x:autoFilter ref="A4:I104"/>
  <x:tableColumns count="9">
    <x:tableColumn id="1" name="Decision ID"/>
    <x:tableColumn id="2" name="Date"/>
    <x:tableColumn id="3" name="Owner"/>
    <x:tableColumn id="4" name="Context"/>
    <x:tableColumn id="5" name="Options Considered"/>
    <x:tableColumn id="6" name="Decision"/>
    <x:tableColumn id="7" name="Status"/>
    <x:tableColumn id="8" name="Linked Task"/>
    <x:tableColumn id="9" name="Revisit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IssueLogTable" displayName="RiskIssueLogTable" ref="A4:I104" headerRowCount="1" totalsRowCount="0" totalsRowShown="0">
  <x:autoFilter ref="A4:I104"/>
  <x:tableColumns count="9">
    <x:tableColumn id="1" name="ID"/>
    <x:tableColumn id="2" name="Type"/>
    <x:tableColumn id="3" name="Severity"/>
    <x:tableColumn id="4" name="Owner"/>
    <x:tableColumn id="5" name="Status"/>
    <x:tableColumn id="6" name="Description"/>
    <x:tableColumn id="7" name="Mitigation / Next Action"/>
    <x:tableColumn id="8" name="Due Date"/>
    <x:tableColumn id="9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stDemoLogTable" displayName="TestDemoLogTable" ref="A4:I104" headerRowCount="1" totalsRowCount="0" totalsRowShown="0">
  <x:autoFilter ref="A4:I104"/>
  <x:tableColumns count="9">
    <x:tableColumn id="1" name="ID"/>
    <x:tableColumn id="2" name="Date"/>
    <x:tableColumn id="3" name="Scenario"/>
    <x:tableColumn id="4" name="Owner"/>
    <x:tableColumn id="5" name="Environment"/>
    <x:tableColumn id="6" name="Result"/>
    <x:tableColumn id="7" name="Evidence Link"/>
    <x:tableColumn id="8" name="Bug / Task Link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finitionOfDoneTable" displayName="DefinitionOfDoneTable" ref="A4:C10" headerRowCount="1" totalsRowCount="0" totalsRowShown="0">
  <x:autoFilter ref="A4:C10"/>
  <x:tableColumns count="3">
    <x:tableColumn id="1" name="Area"/>
    <x:tableColumn id="2" name="Checklist Item"/>
    <x:tableColumn id="3" name="Required?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istsTable" displayName="ListsTable" ref="A4:F12" headerRowCount="1" totalsRowCount="0" totalsRowShown="0">
  <x:autoFilter ref="A4:F12"/>
  <x:tableColumns count="6">
    <x:tableColumn id="1" name="Status"/>
    <x:tableColumn id="2" name="Priority"/>
    <x:tableColumn id="3" name="Success?"/>
    <x:tableColumn id="4" name="Risk Severity"/>
    <x:tableColumn id="5" name="Test Result"/>
    <x:tableColumn id="6" name="Heal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e564a41d78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0a18b827dd44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4f325db12646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588743c72349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561af79ff74d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821841d0fb44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37f84a114a47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af4df0881b44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09bafaf05b46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30" hidden="0" customWidth="1"/>
    <x:col min="5" max="5" width="18" hidden="0" customWidth="1"/>
    <x:col min="6" max="6" width="35" hidden="0" customWidth="1"/>
  </x:cols>
  <x:sheetData>
    <x:row r="1" ht="30" customHeight="1">
      <x:c r="A1" s="37" t="str">
        <x:v>Project Coordination Workbook</x:v>
      </x:c>
      <x:c r="B1" s="23"/>
      <x:c r="C1" s="23"/>
      <x:c r="D1" s="23"/>
      <x:c r="E1" s="23"/>
      <x:c r="F1" s="23"/>
    </x:row>
    <x:row r="2">
      <x:c r="A2" s="24" t="str">
        <x:v>Autonomous GIS Workbench ekibi için hafif task, fikir, karar ve test takip sistemi. İngilizce kolonlar sabit kalsın; günlük notları Türkçe yazabilirsiniz.</x:v>
      </x:c>
      <x:c r="B2" s="23"/>
      <x:c r="C2" s="23"/>
      <x:c r="D2" s="23"/>
      <x:c r="E2" s="23"/>
      <x:c r="F2" s="23"/>
    </x:row>
    <x:row r="3">
      <x:c r="A3" s="23"/>
      <x:c r="B3" s="23"/>
      <x:c r="C3" s="23"/>
      <x:c r="D3" s="23"/>
      <x:c r="E3" s="23"/>
      <x:c r="F3" s="23"/>
    </x:row>
    <x:row r="4">
      <x:c r="A4" s="25" t="str">
        <x:v>Member</x:v>
      </x:c>
      <x:c r="B4" s="25" t="str">
        <x:v>Role</x:v>
      </x:c>
      <x:c r="C4" s="25" t="str">
        <x:v>Primary Focus</x:v>
      </x:c>
      <x:c r="D4" s="25" t="str">
        <x:v>Contact / Drive Note</x:v>
      </x:c>
      <x:c r="E4" s="25" t="str">
        <x:v>Capacity</x:v>
      </x:c>
      <x:c r="F4" s="25" t="str">
        <x:v>Notes</x:v>
      </x:c>
    </x:row>
    <x:row r="5">
      <x:c r="A5" s="26" t="str">
        <x:v>Yagiz</x:v>
      </x:c>
      <x:c r="B5" s="26" t="str">
        <x:v>Product / Engineering</x:v>
      </x:c>
      <x:c r="C5" s="26" t="str">
        <x:v>Product direction, LLM/GIS workflow, review</x:v>
      </x:c>
      <x:c r="D5" s="26" t="str"/>
      <x:c r="E5" s="26" t="str">
        <x:v>Medium</x:v>
      </x:c>
      <x:c r="F5" s="26" t="str">
        <x:v>Final kararları ve demo kabulünü burada işaretleyin.</x:v>
      </x:c>
    </x:row>
    <x:row r="6">
      <x:c r="A6" s="26" t="str">
        <x:v>Team Member 2</x:v>
      </x:c>
      <x:c r="B6" s="26" t="str">
        <x:v>Engineering</x:v>
      </x:c>
      <x:c r="C6" s="26" t="str">
        <x:v>Backend / tools / tests</x:v>
      </x:c>
      <x:c r="D6" s="26" t="str"/>
      <x:c r="E6" s="26" t="str">
        <x:v>Medium</x:v>
      </x:c>
      <x:c r="F6" s="26" t="str">
        <x:v>İsmi değiştirin.</x:v>
      </x:c>
    </x:row>
    <x:row r="7">
      <x:c r="A7" s="26" t="str">
        <x:v>Team Member 3</x:v>
      </x:c>
      <x:c r="B7" s="26" t="str">
        <x:v>Design / QA / Docs</x:v>
      </x:c>
      <x:c r="C7" s="26" t="str">
        <x:v>UI review, demo scripts, documentation</x:v>
      </x:c>
      <x:c r="D7" s="26" t="str"/>
      <x:c r="E7" s="26" t="str">
        <x:v>Medium</x:v>
      </x:c>
      <x:c r="F7" s="26" t="str">
        <x:v>İsmi değiştirin.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ce564a41d784d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24" hidden="0" customWidth="1"/>
    <x:col min="5" max="5" width="16" hidden="0" customWidth="1"/>
    <x:col min="6" max="6" width="4" hidden="0" customWidth="1"/>
    <x:col min="7" max="7" width="24" hidden="0" customWidth="1"/>
    <x:col min="8" max="8" width="16" hidden="0" customWidth="1"/>
  </x:cols>
  <x:sheetData>
    <x:row r="1" ht="30" customHeight="1">
      <x:c r="A1" s="36" t="str">
        <x:v>Dashboard</x:v>
      </x:c>
      <x:c r="B1" s="23"/>
      <x:c r="C1" s="23"/>
      <x:c r="D1" s="23"/>
      <x:c r="E1" s="23"/>
    </x:row>
    <x:row r="2">
      <x:c r="A2" s="24" t="str">
        <x:v>Otomatik özet. Ana kaynak: Task Board, Risk/Issue Log, Test/Demo Log.</x:v>
      </x:c>
      <x:c r="B2" s="23"/>
      <x:c r="C2" s="23"/>
      <x:c r="D2" s="23"/>
      <x:c r="E2" s="23"/>
    </x:row>
    <x:row r="3">
      <x:c r="A3" s="23"/>
      <x:c r="B3" s="23"/>
      <x:c r="C3" s="23"/>
      <x:c r="D3" s="23"/>
      <x:c r="E3" s="23"/>
    </x:row>
    <x:row r="4">
      <x:c r="A4" s="25" t="str">
        <x:v>Metric</x:v>
      </x:c>
      <x:c r="B4" s="25" t="str">
        <x:v>Value</x:v>
      </x:c>
      <x:c r="C4" s="23"/>
      <x:c r="D4" s="25" t="str">
        <x:v>Quality / Risk</x:v>
      </x:c>
      <x:c r="E4" s="25" t="str">
        <x:v>Value</x:v>
      </x:c>
    </x:row>
    <x:row r="5">
      <x:c r="A5" s="26" t="str">
        <x:v>Total Tasks</x:v>
      </x:c>
      <x:c r="B5" s="27" t="n">
        <x:f>COUNTIF('Task Board'!$A$5:$A$104,"&lt;&gt;")</x:f>
        <x:v>5</x:v>
      </x:c>
      <x:c r="C5" s="23"/>
      <x:c r="D5" s="26" t="str">
        <x:v>Open Risks / Issues</x:v>
      </x:c>
      <x:c r="E5" s="27" t="n">
        <x:f>COUNTIFS('Risk Issue Log'!$A$5:$A$104,"&lt;&gt;",'Risk Issue Log'!$E$5:$E$104,"&lt;&gt;Closed")</x:f>
        <x:v>2</x:v>
      </x:c>
    </x:row>
    <x:row r="6">
      <x:c r="A6" s="26" t="str">
        <x:v>Done</x:v>
      </x:c>
      <x:c r="B6" s="27" t="n">
        <x:f>COUNTIFS('Task Board'!$A$5:$A$104,"&lt;&gt;",'Task Board'!$E$5:$E$104,"Done")</x:f>
        <x:v>2</x:v>
      </x:c>
      <x:c r="C6" s="23"/>
      <x:c r="D6" s="26" t="str">
        <x:v>High Severity Open</x:v>
      </x:c>
      <x:c r="E6" s="27" t="n">
        <x:f>COUNTIFS('Risk Issue Log'!$A$5:$A$104,"&lt;&gt;",'Risk Issue Log'!$C$5:$C$104,"High",'Risk Issue Log'!$E$5:$E$104,"&lt;&gt;Closed")</x:f>
        <x:v>0</x:v>
      </x:c>
    </x:row>
    <x:row r="7">
      <x:c r="A7" s="26" t="str">
        <x:v>In Progress</x:v>
      </x:c>
      <x:c r="B7" s="27" t="n">
        <x:f>COUNTIFS('Task Board'!$A$5:$A$104,"&lt;&gt;",'Task Board'!$E$5:$E$104,"In Progress")</x:f>
        <x:v>0</x:v>
      </x:c>
      <x:c r="C7" s="23"/>
      <x:c r="D7" s="26" t="str">
        <x:v>Tests Passed</x:v>
      </x:c>
      <x:c r="E7" s="27" t="n">
        <x:f>COUNTIFS('Test Demo Log'!$A$5:$A$104,"&lt;&gt;",'Test Demo Log'!$F$5:$F$104,"Pass")</x:f>
        <x:v>1</x:v>
      </x:c>
    </x:row>
    <x:row r="8">
      <x:c r="A8" s="26" t="str">
        <x:v>Blocked</x:v>
      </x:c>
      <x:c r="B8" s="27" t="n">
        <x:f>COUNTIFS('Task Board'!$A$5:$A$104,"&lt;&gt;",'Task Board'!$E$5:$E$104,"Blocked")</x:f>
        <x:v>0</x:v>
      </x:c>
      <x:c r="C8" s="23"/>
      <x:c r="D8" s="26" t="str">
        <x:v>Tests Failed</x:v>
      </x:c>
      <x:c r="E8" s="27" t="n">
        <x:f>COUNTIFS('Test Demo Log'!$A$5:$A$104,"&lt;&gt;",'Test Demo Log'!$F$5:$F$104,"Fail")</x:f>
        <x:v>0</x:v>
      </x:c>
    </x:row>
    <x:row r="9">
      <x:c r="A9" s="26" t="str">
        <x:v>Failed</x:v>
      </x:c>
      <x:c r="B9" s="27" t="n">
        <x:f>COUNTIFS('Task Board'!$A$5:$A$104,"&lt;&gt;",'Task Board'!$E$5:$E$104,"Failed")</x:f>
        <x:v>0</x:v>
      </x:c>
      <x:c r="C9" s="23"/>
      <x:c r="D9" s="26" t="str">
        <x:v>Demos Ready</x:v>
      </x:c>
      <x:c r="E9" s="27" t="n">
        <x:f>COUNTIFS('Test Demo Log'!$A$5:$A$104,"&lt;&gt;",'Test Demo Log'!$F$5:$F$104,"Ready for Demo")</x:f>
        <x:v>0</x:v>
      </x:c>
    </x:row>
    <x:row r="10">
      <x:c r="A10" s="26" t="str">
        <x:v>Open This Week</x:v>
      </x:c>
      <x:c r="B10" s="27" t="n">
        <x:f>COUNTIFS('Task Board'!$A$5:$A$104,"&lt;&gt;",'Task Board'!$E$5:$E$104,"&lt;&gt;Done",'Task Board'!$H$5:$H$104,"&gt;=1",'Task Board'!$H$5:$H$104,"&lt;="&amp;TODAY()+7)</x:f>
        <x:v>0</x:v>
      </x:c>
      <x:c r="C10" s="23"/>
      <x:c r="D10" s="26" t="str">
        <x:v>Completion Rate</x:v>
      </x:c>
      <x:c r="E10" s="28" t="n">
        <x:f>IFERROR(COUNTIFS('Task Board'!$A$5:$A$104,"&lt;&gt;",'Task Board'!$E$5:$E$104,"Done")/COUNTIF('Task Board'!$A$5:$A$104,"&lt;&gt;"),0)</x:f>
        <x:v>0.4</x:v>
      </x:c>
    </x:row>
    <x:row r="11">
      <x:c r="A11" s="26" t="str">
        <x:v>High Priority Open</x:v>
      </x:c>
      <x:c r="B11" s="27" t="n">
        <x:f>COUNTIFS('Task Board'!$A$5:$A$104,"&lt;&gt;",'Task Board'!$F$5:$F$104,"P0",'Task Board'!$E$5:$E$104,"&lt;&gt;Done")+COUNTIFS('Task Board'!$A$5:$A$104,"&lt;&gt;",'Task Board'!$F$5:$F$104,"P1",'Task Board'!$E$5:$E$104,"&lt;&gt;Done")</x:f>
        <x:v>3</x:v>
      </x:c>
      <x:c r="C11" s="23"/>
      <x:c r="D11" s="26" t="str">
        <x:v>Last Updated</x:v>
      </x:c>
      <x:c r="E11" s="29" t="n">
        <x:f>TODAY()</x:f>
        <x:v>46206</x:v>
      </x:c>
    </x:row>
    <x:row r="12">
      <x:c r="A12" s="26" t="str">
        <x:v>Open Ideas</x:v>
      </x:c>
      <x:c r="B12" s="27" t="n">
        <x:f>COUNTIFS('Idea Inbox'!$A$5:$A$104,"&lt;&gt;",'Idea Inbox'!$H$5:$H$104,"Open")</x:f>
        <x:v>1</x:v>
      </x:c>
      <x:c r="C12" s="23"/>
      <x:c r="D12" s="23"/>
      <x:c r="E12" s="23"/>
    </x:row>
    <x:row r="13">
      <x:c r="A13" s="26" t="str">
        <x:v>Open Decisions</x:v>
      </x:c>
      <x:c r="B13" s="27" t="n">
        <x:f>COUNTIFS('Decision Log'!$A$5:$A$104,"&lt;&gt;",'Decision Log'!$G$5:$G$104,"Open")</x:f>
        <x:v>0</x:v>
      </x:c>
      <x:c r="C13" s="23"/>
      <x:c r="D13" s="23"/>
      <x:c r="E13" s="23"/>
    </x:row>
    <x:row r="14">
      <x:c r="A14" s="23"/>
      <x:c r="B14" s="23"/>
      <x:c r="C14" s="23"/>
      <x:c r="D14" s="23"/>
      <x:c r="E14" s="23"/>
    </x:row>
    <x:row r="15">
      <x:c r="A15" s="23"/>
      <x:c r="B15" s="23"/>
      <x:c r="C15" s="23"/>
      <x:c r="D15" s="23"/>
      <x:c r="E15" s="23"/>
    </x:row>
    <x:row r="16">
      <x:c r="A16" s="30" t="str">
        <x:v>How to use / Kullanım</x:v>
      </x:c>
      <x:c r="B16" s="23"/>
      <x:c r="C16" s="23"/>
      <x:c r="D16" s="23"/>
      <x:c r="E16" s="23"/>
    </x:row>
    <x:row r="17">
      <x:c r="A17" s="31" t="str">
        <x:v>1) Yeni işi Task Board'a ekleyin. Status, Owner, Priority ve Due Date boş kalmasın.
2) Fikirler netleşmeden task'a dönüşmesin; önce Idea Inbox'ta tartışın.
3) Büyük kararlar Decision Log'a girilsin; Slack/WhatsApp içinde kaybolmasın.
4) Demo veya test sonucu Test/Demo Log'a yazılmadan task Done olmasın.
5) Haftalık toplantıda Weekly Sync sayfasındaki en son satırı doldurun.</x:v>
      </x:c>
      <x:c r="B17" s="23"/>
      <x:c r="C17" s="23"/>
      <x:c r="D17" s="23"/>
      <x:c r="E17" s="23"/>
    </x:row>
  </x:sheetData>
  <x:mergeCells>
    <x:mergeCell ref="A1:H1"/>
    <x:mergeCell ref="A2:H2"/>
    <x:mergeCell ref="A16:H16"/>
    <x:mergeCell ref="A17:H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2" hidden="0" customWidth="1"/>
    <x:col min="10" max="10" width="10" hidden="0" customWidth="1"/>
    <x:col min="11" max="11" width="10" hidden="0" customWidth="1"/>
    <x:col min="12" max="12" width="34" hidden="0" customWidth="1"/>
    <x:col min="13" max="13" width="38" hidden="0" customWidth="1"/>
  </x:cols>
  <x:sheetData>
    <x:row r="1" ht="30" customHeight="1">
      <x:c r="A1" s="37" t="str">
        <x:v>Task Board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</x:row>
    <x:row r="2">
      <x:c r="A2" s="24" t="str">
        <x:v>Ana çalışma panosu. Her aktif iş için tek satır kullanın; filtreleri Owner, Status, Priority ve Due Date üzerinden kullanın.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 s="25" t="str">
        <x:v>Task ID</x:v>
      </x:c>
      <x:c r="B4" s="25" t="str">
        <x:v>Workstream</x:v>
      </x:c>
      <x:c r="C4" s="25" t="str">
        <x:v>Task</x:v>
      </x:c>
      <x:c r="D4" s="25" t="str">
        <x:v>Owner</x:v>
      </x:c>
      <x:c r="E4" s="25" t="str">
        <x:v>Status</x:v>
      </x:c>
      <x:c r="F4" s="25" t="str">
        <x:v>Priority</x:v>
      </x:c>
      <x:c r="G4" s="25" t="str">
        <x:v>Start Date</x:v>
      </x:c>
      <x:c r="H4" s="25" t="str">
        <x:v>Due Date</x:v>
      </x:c>
      <x:c r="I4" s="25" t="str">
        <x:v>Success?</x:v>
      </x:c>
      <x:c r="J4" s="25" t="str">
        <x:v>Blocked?</x:v>
      </x:c>
      <x:c r="K4" s="25" t="str">
        <x:v>% Done</x:v>
      </x:c>
      <x:c r="L4" s="25" t="str">
        <x:v>Next Action</x:v>
      </x:c>
      <x:c r="M4" s="25" t="str">
        <x:v>Notes / Links</x:v>
      </x:c>
    </x:row>
    <x:row r="5">
      <x:c r="A5" s="26" t="str">
        <x:v>T-001</x:v>
      </x:c>
      <x:c r="B5" s="26" t="str">
        <x:v>Core GIS</x:v>
      </x:c>
      <x:c r="C5" s="26" t="str">
        <x:v>Implement calculate_area tool</x:v>
      </x:c>
      <x:c r="D5" s="26" t="str">
        <x:v>Yagiz</x:v>
      </x:c>
      <x:c r="E5" s="26" t="str">
        <x:v>Done</x:v>
      </x:c>
      <x:c r="F5" s="26" t="str">
        <x:v>P1</x:v>
      </x:c>
      <x:c r="G5" s="32" t="n">
        <x:v>46206</x:v>
      </x:c>
      <x:c r="H5" s="32" t="n">
        <x:v>46206</x:v>
      </x:c>
      <x:c r="I5" s="26" t="str">
        <x:v>Success</x:v>
      </x:c>
      <x:c r="J5" s="26" t="str">
        <x:v>No</x:v>
      </x:c>
      <x:c r="K5" s="33" t="n">
        <x:v>1</x:v>
      </x:c>
      <x:c r="L5" s="26" t="str">
        <x:v>Keep docs updated</x:v>
      </x:c>
      <x:c r="M5" s="26" t="str">
        <x:v>Completed in latest codebase.</x:v>
      </x:c>
    </x:row>
    <x:row r="6">
      <x:c r="A6" s="26" t="str">
        <x:v>T-002</x:v>
      </x:c>
      <x:c r="B6" s="26" t="str">
        <x:v>Core GIS</x:v>
      </x:c>
      <x:c r="C6" s="26" t="str">
        <x:v>Implement calculate_length tool</x:v>
      </x:c>
      <x:c r="D6" s="26" t="str">
        <x:v>Yagiz</x:v>
      </x:c>
      <x:c r="E6" s="26" t="str">
        <x:v>Done</x:v>
      </x:c>
      <x:c r="F6" s="26" t="str">
        <x:v>P1</x:v>
      </x:c>
      <x:c r="G6" s="32" t="n">
        <x:v>46206</x:v>
      </x:c>
      <x:c r="H6" s="32" t="n">
        <x:v>46206</x:v>
      </x:c>
      <x:c r="I6" s="26" t="str">
        <x:v>Success</x:v>
      </x:c>
      <x:c r="J6" s="26" t="str">
        <x:v>No</x:v>
      </x:c>
      <x:c r="K6" s="33" t="n">
        <x:v>1</x:v>
      </x:c>
      <x:c r="L6" s="26" t="str">
        <x:v>Run live S34 eval when key is ready</x:v>
      </x:c>
      <x:c r="M6" s="26" t="str">
        <x:v>Offline composed-plan coverage exists.</x:v>
      </x:c>
    </x:row>
    <x:row r="7">
      <x:c r="A7" s="26" t="str">
        <x:v>T-003</x:v>
      </x:c>
      <x:c r="B7" s="26" t="str">
        <x:v>Core GIS</x:v>
      </x:c>
      <x:c r="C7" s="26" t="str">
        <x:v>Implement centroid tool</x:v>
      </x:c>
      <x:c r="D7" s="26" t="str">
        <x:v>Unassigned</x:v>
      </x:c>
      <x:c r="E7" s="26" t="str">
        <x:v>Ready</x:v>
      </x:c>
      <x:c r="F7" s="26" t="str">
        <x:v>P1</x:v>
      </x:c>
      <x:c r="G7" s="32" t="str"/>
      <x:c r="H7" s="32" t="str"/>
      <x:c r="I7" s="26" t="str">
        <x:v>TBD</x:v>
      </x:c>
      <x:c r="J7" s="26" t="str">
        <x:v>No</x:v>
      </x:c>
      <x:c r="K7" s="33" t="n">
        <x:v>0</x:v>
      </x:c>
      <x:c r="L7" s="26" t="str">
        <x:v>Define input/output shape</x:v>
      </x:c>
      <x:c r="M7" s="26" t="str">
        <x:v>Next Tier-1 item from eval findings.</x:v>
      </x:c>
    </x:row>
    <x:row r="8">
      <x:c r="A8" s="26" t="str">
        <x:v>T-004</x:v>
      </x:c>
      <x:c r="B8" s="26" t="str">
        <x:v>UX</x:v>
      </x:c>
      <x:c r="C8" s="26" t="str">
        <x:v>Progressive map rendering</x:v>
      </x:c>
      <x:c r="D8" s="26" t="str">
        <x:v>Unassigned</x:v>
      </x:c>
      <x:c r="E8" s="26" t="str">
        <x:v>Backlog</x:v>
      </x:c>
      <x:c r="F8" s="26" t="str">
        <x:v>P0</x:v>
      </x:c>
      <x:c r="G8" s="32" t="str"/>
      <x:c r="H8" s="32" t="str"/>
      <x:c r="I8" s="26" t="str">
        <x:v>TBD</x:v>
      </x:c>
      <x:c r="J8" s="26" t="str">
        <x:v>No</x:v>
      </x:c>
      <x:c r="K8" s="33" t="n">
        <x:v>0</x:v>
      </x:c>
      <x:c r="L8" s="26" t="str">
        <x:v>Design workspace-layer endpoint + ghost layers</x:v>
      </x:c>
      <x:c r="M8" s="26" t="str">
        <x:v>Owner explicitly requested; still owed.</x:v>
      </x:c>
    </x:row>
    <x:row r="9">
      <x:c r="A9" s="26" t="str">
        <x:v>T-005</x:v>
      </x:c>
      <x:c r="B9" s="26" t="str">
        <x:v>LLM QA</x:v>
      </x:c>
      <x:c r="C9" s="26" t="str">
        <x:v>Run live Gemini evals S33/S34</x:v>
      </x:c>
      <x:c r="D9" s="26" t="str">
        <x:v>Yagiz</x:v>
      </x:c>
      <x:c r="E9" s="26" t="str">
        <x:v>Ready</x:v>
      </x:c>
      <x:c r="F9" s="26" t="str">
        <x:v>P1</x:v>
      </x:c>
      <x:c r="G9" s="32" t="str"/>
      <x:c r="H9" s="32" t="str"/>
      <x:c r="I9" s="26" t="str">
        <x:v>TBD</x:v>
      </x:c>
      <x:c r="J9" s="26" t="str">
        <x:v>Yes</x:v>
      </x:c>
      <x:c r="K9" s="33" t="n">
        <x:v>0</x:v>
      </x:c>
      <x:c r="L9" s="26" t="str">
        <x:v>Add Gemini key to .env, then run evals</x:v>
      </x:c>
      <x:c r="M9" s="26" t="str">
        <x:v>Needs external LLM approval/key.</x:v>
      </x:c>
    </x:row>
    <x:row r="10">
      <x:c r="A10" s="26"/>
      <x:c r="B10" s="26"/>
      <x:c r="C10" s="26"/>
      <x:c r="D10" s="26"/>
      <x:c r="E10" s="26"/>
      <x:c r="F10" s="26"/>
      <x:c r="G10" s="32"/>
      <x:c r="H10" s="32"/>
      <x:c r="I10" s="26"/>
      <x:c r="J10" s="26"/>
      <x:c r="K10" s="33"/>
      <x:c r="L10" s="26"/>
      <x:c r="M10" s="26"/>
    </x:row>
    <x:row r="11">
      <x:c r="A11" s="26"/>
      <x:c r="B11" s="26"/>
      <x:c r="C11" s="26"/>
      <x:c r="D11" s="26"/>
      <x:c r="E11" s="26"/>
      <x:c r="F11" s="26"/>
      <x:c r="G11" s="32"/>
      <x:c r="H11" s="32"/>
      <x:c r="I11" s="26"/>
      <x:c r="J11" s="26"/>
      <x:c r="K11" s="33"/>
      <x:c r="L11" s="26"/>
      <x:c r="M11" s="26"/>
    </x:row>
    <x:row r="12">
      <x:c r="A12" s="26"/>
      <x:c r="B12" s="26"/>
      <x:c r="C12" s="26"/>
      <x:c r="D12" s="26"/>
      <x:c r="E12" s="26"/>
      <x:c r="F12" s="26"/>
      <x:c r="G12" s="32"/>
      <x:c r="H12" s="32"/>
      <x:c r="I12" s="26"/>
      <x:c r="J12" s="26"/>
      <x:c r="K12" s="33"/>
      <x:c r="L12" s="26"/>
      <x:c r="M12" s="26"/>
    </x:row>
    <x:row r="13">
      <x:c r="A13" s="26"/>
      <x:c r="B13" s="26"/>
      <x:c r="C13" s="26"/>
      <x:c r="D13" s="26"/>
      <x:c r="E13" s="26"/>
      <x:c r="F13" s="26"/>
      <x:c r="G13" s="32"/>
      <x:c r="H13" s="32"/>
      <x:c r="I13" s="26"/>
      <x:c r="J13" s="26"/>
      <x:c r="K13" s="33"/>
      <x:c r="L13" s="26"/>
      <x:c r="M13" s="26"/>
    </x:row>
    <x:row r="14">
      <x:c r="A14" s="26"/>
      <x:c r="B14" s="26"/>
      <x:c r="C14" s="26"/>
      <x:c r="D14" s="26"/>
      <x:c r="E14" s="26"/>
      <x:c r="F14" s="26"/>
      <x:c r="G14" s="32"/>
      <x:c r="H14" s="32"/>
      <x:c r="I14" s="26"/>
      <x:c r="J14" s="26"/>
      <x:c r="K14" s="33"/>
      <x:c r="L14" s="26"/>
      <x:c r="M14" s="26"/>
    </x:row>
    <x:row r="15">
      <x:c r="A15" s="26"/>
      <x:c r="B15" s="26"/>
      <x:c r="C15" s="26"/>
      <x:c r="D15" s="26"/>
      <x:c r="E15" s="26"/>
      <x:c r="F15" s="26"/>
      <x:c r="G15" s="32"/>
      <x:c r="H15" s="32"/>
      <x:c r="I15" s="26"/>
      <x:c r="J15" s="26"/>
      <x:c r="K15" s="33"/>
      <x:c r="L15" s="26"/>
      <x:c r="M15" s="26"/>
    </x:row>
    <x:row r="16">
      <x:c r="A16" s="26"/>
      <x:c r="B16" s="26"/>
      <x:c r="C16" s="26"/>
      <x:c r="D16" s="26"/>
      <x:c r="E16" s="26"/>
      <x:c r="F16" s="26"/>
      <x:c r="G16" s="32"/>
      <x:c r="H16" s="32"/>
      <x:c r="I16" s="26"/>
      <x:c r="J16" s="26"/>
      <x:c r="K16" s="33"/>
      <x:c r="L16" s="26"/>
      <x:c r="M16" s="26"/>
    </x:row>
    <x:row r="17">
      <x:c r="A17" s="26"/>
      <x:c r="B17" s="26"/>
      <x:c r="C17" s="26"/>
      <x:c r="D17" s="26"/>
      <x:c r="E17" s="26"/>
      <x:c r="F17" s="26"/>
      <x:c r="G17" s="32"/>
      <x:c r="H17" s="32"/>
      <x:c r="I17" s="26"/>
      <x:c r="J17" s="26"/>
      <x:c r="K17" s="33"/>
      <x:c r="L17" s="26"/>
      <x:c r="M17" s="26"/>
    </x:row>
    <x:row r="18">
      <x:c r="A18" s="26"/>
      <x:c r="B18" s="26"/>
      <x:c r="C18" s="26"/>
      <x:c r="D18" s="26"/>
      <x:c r="E18" s="26"/>
      <x:c r="F18" s="26"/>
      <x:c r="G18" s="32"/>
      <x:c r="H18" s="32"/>
      <x:c r="I18" s="26"/>
      <x:c r="J18" s="26"/>
      <x:c r="K18" s="33"/>
      <x:c r="L18" s="26"/>
      <x:c r="M18" s="26"/>
    </x:row>
    <x:row r="19">
      <x:c r="A19" s="26"/>
      <x:c r="B19" s="26"/>
      <x:c r="C19" s="26"/>
      <x:c r="D19" s="26"/>
      <x:c r="E19" s="26"/>
      <x:c r="F19" s="26"/>
      <x:c r="G19" s="32"/>
      <x:c r="H19" s="32"/>
      <x:c r="I19" s="26"/>
      <x:c r="J19" s="26"/>
      <x:c r="K19" s="33"/>
      <x:c r="L19" s="26"/>
      <x:c r="M19" s="26"/>
    </x:row>
    <x:row r="20">
      <x:c r="A20" s="26"/>
      <x:c r="B20" s="26"/>
      <x:c r="C20" s="26"/>
      <x:c r="D20" s="26"/>
      <x:c r="E20" s="26"/>
      <x:c r="F20" s="26"/>
      <x:c r="G20" s="32"/>
      <x:c r="H20" s="32"/>
      <x:c r="I20" s="26"/>
      <x:c r="J20" s="26"/>
      <x:c r="K20" s="33"/>
      <x:c r="L20" s="26"/>
      <x:c r="M20" s="26"/>
    </x:row>
    <x:row r="21">
      <x:c r="A21" s="26"/>
      <x:c r="B21" s="26"/>
      <x:c r="C21" s="26"/>
      <x:c r="D21" s="26"/>
      <x:c r="E21" s="26"/>
      <x:c r="F21" s="26"/>
      <x:c r="G21" s="32"/>
      <x:c r="H21" s="32"/>
      <x:c r="I21" s="26"/>
      <x:c r="J21" s="26"/>
      <x:c r="K21" s="33"/>
      <x:c r="L21" s="26"/>
      <x:c r="M21" s="26"/>
    </x:row>
    <x:row r="22">
      <x:c r="A22" s="26"/>
      <x:c r="B22" s="26"/>
      <x:c r="C22" s="26"/>
      <x:c r="D22" s="26"/>
      <x:c r="E22" s="26"/>
      <x:c r="F22" s="26"/>
      <x:c r="G22" s="32"/>
      <x:c r="H22" s="32"/>
      <x:c r="I22" s="26"/>
      <x:c r="J22" s="26"/>
      <x:c r="K22" s="33"/>
      <x:c r="L22" s="26"/>
      <x:c r="M22" s="26"/>
    </x:row>
    <x:row r="23">
      <x:c r="A23" s="26"/>
      <x:c r="B23" s="26"/>
      <x:c r="C23" s="26"/>
      <x:c r="D23" s="26"/>
      <x:c r="E23" s="26"/>
      <x:c r="F23" s="26"/>
      <x:c r="G23" s="32"/>
      <x:c r="H23" s="32"/>
      <x:c r="I23" s="26"/>
      <x:c r="J23" s="26"/>
      <x:c r="K23" s="33"/>
      <x:c r="L23" s="26"/>
      <x:c r="M23" s="26"/>
    </x:row>
    <x:row r="24">
      <x:c r="A24" s="26"/>
      <x:c r="B24" s="26"/>
      <x:c r="C24" s="26"/>
      <x:c r="D24" s="26"/>
      <x:c r="E24" s="26"/>
      <x:c r="F24" s="26"/>
      <x:c r="G24" s="32"/>
      <x:c r="H24" s="32"/>
      <x:c r="I24" s="26"/>
      <x:c r="J24" s="26"/>
      <x:c r="K24" s="33"/>
      <x:c r="L24" s="26"/>
      <x:c r="M24" s="26"/>
    </x:row>
    <x:row r="25">
      <x:c r="A25" s="26"/>
      <x:c r="B25" s="26"/>
      <x:c r="C25" s="26"/>
      <x:c r="D25" s="26"/>
      <x:c r="E25" s="26"/>
      <x:c r="F25" s="26"/>
      <x:c r="G25" s="32"/>
      <x:c r="H25" s="32"/>
      <x:c r="I25" s="26"/>
      <x:c r="J25" s="26"/>
      <x:c r="K25" s="33"/>
      <x:c r="L25" s="26"/>
      <x:c r="M25" s="26"/>
    </x:row>
    <x:row r="26">
      <x:c r="A26" s="26"/>
      <x:c r="B26" s="26"/>
      <x:c r="C26" s="26"/>
      <x:c r="D26" s="26"/>
      <x:c r="E26" s="26"/>
      <x:c r="F26" s="26"/>
      <x:c r="G26" s="32"/>
      <x:c r="H26" s="32"/>
      <x:c r="I26" s="26"/>
      <x:c r="J26" s="26"/>
      <x:c r="K26" s="33"/>
      <x:c r="L26" s="26"/>
      <x:c r="M26" s="26"/>
    </x:row>
    <x:row r="27">
      <x:c r="A27" s="26"/>
      <x:c r="B27" s="26"/>
      <x:c r="C27" s="26"/>
      <x:c r="D27" s="26"/>
      <x:c r="E27" s="26"/>
      <x:c r="F27" s="26"/>
      <x:c r="G27" s="32"/>
      <x:c r="H27" s="32"/>
      <x:c r="I27" s="26"/>
      <x:c r="J27" s="26"/>
      <x:c r="K27" s="33"/>
      <x:c r="L27" s="26"/>
      <x:c r="M27" s="26"/>
    </x:row>
    <x:row r="28">
      <x:c r="A28" s="26"/>
      <x:c r="B28" s="26"/>
      <x:c r="C28" s="26"/>
      <x:c r="D28" s="26"/>
      <x:c r="E28" s="26"/>
      <x:c r="F28" s="26"/>
      <x:c r="G28" s="32"/>
      <x:c r="H28" s="32"/>
      <x:c r="I28" s="26"/>
      <x:c r="J28" s="26"/>
      <x:c r="K28" s="33"/>
      <x:c r="L28" s="26"/>
      <x:c r="M28" s="26"/>
    </x:row>
    <x:row r="29">
      <x:c r="A29" s="26"/>
      <x:c r="B29" s="26"/>
      <x:c r="C29" s="26"/>
      <x:c r="D29" s="26"/>
      <x:c r="E29" s="26"/>
      <x:c r="F29" s="26"/>
      <x:c r="G29" s="32"/>
      <x:c r="H29" s="32"/>
      <x:c r="I29" s="26"/>
      <x:c r="J29" s="26"/>
      <x:c r="K29" s="33"/>
      <x:c r="L29" s="26"/>
      <x:c r="M29" s="26"/>
    </x:row>
    <x:row r="30">
      <x:c r="A30" s="26"/>
      <x:c r="B30" s="26"/>
      <x:c r="C30" s="26"/>
      <x:c r="D30" s="26"/>
      <x:c r="E30" s="26"/>
      <x:c r="F30" s="26"/>
      <x:c r="G30" s="32"/>
      <x:c r="H30" s="32"/>
      <x:c r="I30" s="26"/>
      <x:c r="J30" s="26"/>
      <x:c r="K30" s="33"/>
      <x:c r="L30" s="26"/>
      <x:c r="M30" s="26"/>
    </x:row>
    <x:row r="31">
      <x:c r="A31" s="26"/>
      <x:c r="B31" s="26"/>
      <x:c r="C31" s="26"/>
      <x:c r="D31" s="26"/>
      <x:c r="E31" s="26"/>
      <x:c r="F31" s="26"/>
      <x:c r="G31" s="32"/>
      <x:c r="H31" s="32"/>
      <x:c r="I31" s="26"/>
      <x:c r="J31" s="26"/>
      <x:c r="K31" s="33"/>
      <x:c r="L31" s="26"/>
      <x:c r="M31" s="26"/>
    </x:row>
    <x:row r="32">
      <x:c r="A32" s="26"/>
      <x:c r="B32" s="26"/>
      <x:c r="C32" s="26"/>
      <x:c r="D32" s="26"/>
      <x:c r="E32" s="26"/>
      <x:c r="F32" s="26"/>
      <x:c r="G32" s="32"/>
      <x:c r="H32" s="32"/>
      <x:c r="I32" s="26"/>
      <x:c r="J32" s="26"/>
      <x:c r="K32" s="33"/>
      <x:c r="L32" s="26"/>
      <x:c r="M32" s="26"/>
    </x:row>
    <x:row r="33">
      <x:c r="A33" s="26"/>
      <x:c r="B33" s="26"/>
      <x:c r="C33" s="26"/>
      <x:c r="D33" s="26"/>
      <x:c r="E33" s="26"/>
      <x:c r="F33" s="26"/>
      <x:c r="G33" s="32"/>
      <x:c r="H33" s="32"/>
      <x:c r="I33" s="26"/>
      <x:c r="J33" s="26"/>
      <x:c r="K33" s="33"/>
      <x:c r="L33" s="26"/>
      <x:c r="M33" s="26"/>
    </x:row>
    <x:row r="34">
      <x:c r="A34" s="26"/>
      <x:c r="B34" s="26"/>
      <x:c r="C34" s="26"/>
      <x:c r="D34" s="26"/>
      <x:c r="E34" s="26"/>
      <x:c r="F34" s="26"/>
      <x:c r="G34" s="32"/>
      <x:c r="H34" s="32"/>
      <x:c r="I34" s="26"/>
      <x:c r="J34" s="26"/>
      <x:c r="K34" s="33"/>
      <x:c r="L34" s="26"/>
      <x:c r="M34" s="26"/>
    </x:row>
    <x:row r="35">
      <x:c r="A35" s="26"/>
      <x:c r="B35" s="26"/>
      <x:c r="C35" s="26"/>
      <x:c r="D35" s="26"/>
      <x:c r="E35" s="26"/>
      <x:c r="F35" s="26"/>
      <x:c r="G35" s="32"/>
      <x:c r="H35" s="32"/>
      <x:c r="I35" s="26"/>
      <x:c r="J35" s="26"/>
      <x:c r="K35" s="33"/>
      <x:c r="L35" s="26"/>
      <x:c r="M35" s="26"/>
    </x:row>
    <x:row r="36">
      <x:c r="A36" s="26"/>
      <x:c r="B36" s="26"/>
      <x:c r="C36" s="26"/>
      <x:c r="D36" s="26"/>
      <x:c r="E36" s="26"/>
      <x:c r="F36" s="26"/>
      <x:c r="G36" s="32"/>
      <x:c r="H36" s="32"/>
      <x:c r="I36" s="26"/>
      <x:c r="J36" s="26"/>
      <x:c r="K36" s="33"/>
      <x:c r="L36" s="26"/>
      <x:c r="M36" s="26"/>
    </x:row>
    <x:row r="37">
      <x:c r="A37" s="26"/>
      <x:c r="B37" s="26"/>
      <x:c r="C37" s="26"/>
      <x:c r="D37" s="26"/>
      <x:c r="E37" s="26"/>
      <x:c r="F37" s="26"/>
      <x:c r="G37" s="32"/>
      <x:c r="H37" s="32"/>
      <x:c r="I37" s="26"/>
      <x:c r="J37" s="26"/>
      <x:c r="K37" s="33"/>
      <x:c r="L37" s="26"/>
      <x:c r="M37" s="26"/>
    </x:row>
    <x:row r="38">
      <x:c r="A38" s="26"/>
      <x:c r="B38" s="26"/>
      <x:c r="C38" s="26"/>
      <x:c r="D38" s="26"/>
      <x:c r="E38" s="26"/>
      <x:c r="F38" s="26"/>
      <x:c r="G38" s="32"/>
      <x:c r="H38" s="32"/>
      <x:c r="I38" s="26"/>
      <x:c r="J38" s="26"/>
      <x:c r="K38" s="33"/>
      <x:c r="L38" s="26"/>
      <x:c r="M38" s="26"/>
    </x:row>
    <x:row r="39">
      <x:c r="A39" s="26"/>
      <x:c r="B39" s="26"/>
      <x:c r="C39" s="26"/>
      <x:c r="D39" s="26"/>
      <x:c r="E39" s="26"/>
      <x:c r="F39" s="26"/>
      <x:c r="G39" s="32"/>
      <x:c r="H39" s="32"/>
      <x:c r="I39" s="26"/>
      <x:c r="J39" s="26"/>
      <x:c r="K39" s="33"/>
      <x:c r="L39" s="26"/>
      <x:c r="M39" s="26"/>
    </x:row>
    <x:row r="40">
      <x:c r="A40" s="26"/>
      <x:c r="B40" s="26"/>
      <x:c r="C40" s="26"/>
      <x:c r="D40" s="26"/>
      <x:c r="E40" s="26"/>
      <x:c r="F40" s="26"/>
      <x:c r="G40" s="32"/>
      <x:c r="H40" s="32"/>
      <x:c r="I40" s="26"/>
      <x:c r="J40" s="26"/>
      <x:c r="K40" s="33"/>
      <x:c r="L40" s="26"/>
      <x:c r="M40" s="26"/>
    </x:row>
    <x:row r="41">
      <x:c r="A41" s="26"/>
      <x:c r="B41" s="26"/>
      <x:c r="C41" s="26"/>
      <x:c r="D41" s="26"/>
      <x:c r="E41" s="26"/>
      <x:c r="F41" s="26"/>
      <x:c r="G41" s="32"/>
      <x:c r="H41" s="32"/>
      <x:c r="I41" s="26"/>
      <x:c r="J41" s="26"/>
      <x:c r="K41" s="33"/>
      <x:c r="L41" s="26"/>
      <x:c r="M41" s="26"/>
    </x:row>
    <x:row r="42">
      <x:c r="A42" s="26"/>
      <x:c r="B42" s="26"/>
      <x:c r="C42" s="26"/>
      <x:c r="D42" s="26"/>
      <x:c r="E42" s="26"/>
      <x:c r="F42" s="26"/>
      <x:c r="G42" s="32"/>
      <x:c r="H42" s="32"/>
      <x:c r="I42" s="26"/>
      <x:c r="J42" s="26"/>
      <x:c r="K42" s="33"/>
      <x:c r="L42" s="26"/>
      <x:c r="M42" s="26"/>
    </x:row>
    <x:row r="43">
      <x:c r="A43" s="26"/>
      <x:c r="B43" s="26"/>
      <x:c r="C43" s="26"/>
      <x:c r="D43" s="26"/>
      <x:c r="E43" s="26"/>
      <x:c r="F43" s="26"/>
      <x:c r="G43" s="32"/>
      <x:c r="H43" s="32"/>
      <x:c r="I43" s="26"/>
      <x:c r="J43" s="26"/>
      <x:c r="K43" s="33"/>
      <x:c r="L43" s="26"/>
      <x:c r="M43" s="26"/>
    </x:row>
    <x:row r="44">
      <x:c r="A44" s="26"/>
      <x:c r="B44" s="26"/>
      <x:c r="C44" s="26"/>
      <x:c r="D44" s="26"/>
      <x:c r="E44" s="26"/>
      <x:c r="F44" s="26"/>
      <x:c r="G44" s="32"/>
      <x:c r="H44" s="32"/>
      <x:c r="I44" s="26"/>
      <x:c r="J44" s="26"/>
      <x:c r="K44" s="33"/>
      <x:c r="L44" s="26"/>
      <x:c r="M44" s="26"/>
    </x:row>
    <x:row r="45">
      <x:c r="A45" s="26"/>
      <x:c r="B45" s="26"/>
      <x:c r="C45" s="26"/>
      <x:c r="D45" s="26"/>
      <x:c r="E45" s="26"/>
      <x:c r="F45" s="26"/>
      <x:c r="G45" s="32"/>
      <x:c r="H45" s="32"/>
      <x:c r="I45" s="26"/>
      <x:c r="J45" s="26"/>
      <x:c r="K45" s="33"/>
      <x:c r="L45" s="26"/>
      <x:c r="M45" s="26"/>
    </x:row>
    <x:row r="46">
      <x:c r="A46" s="26"/>
      <x:c r="B46" s="26"/>
      <x:c r="C46" s="26"/>
      <x:c r="D46" s="26"/>
      <x:c r="E46" s="26"/>
      <x:c r="F46" s="26"/>
      <x:c r="G46" s="32"/>
      <x:c r="H46" s="32"/>
      <x:c r="I46" s="26"/>
      <x:c r="J46" s="26"/>
      <x:c r="K46" s="33"/>
      <x:c r="L46" s="26"/>
      <x:c r="M46" s="26"/>
    </x:row>
    <x:row r="47">
      <x:c r="A47" s="26"/>
      <x:c r="B47" s="26"/>
      <x:c r="C47" s="26"/>
      <x:c r="D47" s="26"/>
      <x:c r="E47" s="26"/>
      <x:c r="F47" s="26"/>
      <x:c r="G47" s="32"/>
      <x:c r="H47" s="32"/>
      <x:c r="I47" s="26"/>
      <x:c r="J47" s="26"/>
      <x:c r="K47" s="33"/>
      <x:c r="L47" s="26"/>
      <x:c r="M47" s="26"/>
    </x:row>
    <x:row r="48">
      <x:c r="A48" s="26"/>
      <x:c r="B48" s="26"/>
      <x:c r="C48" s="26"/>
      <x:c r="D48" s="26"/>
      <x:c r="E48" s="26"/>
      <x:c r="F48" s="26"/>
      <x:c r="G48" s="32"/>
      <x:c r="H48" s="32"/>
      <x:c r="I48" s="26"/>
      <x:c r="J48" s="26"/>
      <x:c r="K48" s="33"/>
      <x:c r="L48" s="26"/>
      <x:c r="M48" s="26"/>
    </x:row>
    <x:row r="49">
      <x:c r="A49" s="26"/>
      <x:c r="B49" s="26"/>
      <x:c r="C49" s="26"/>
      <x:c r="D49" s="26"/>
      <x:c r="E49" s="26"/>
      <x:c r="F49" s="26"/>
      <x:c r="G49" s="32"/>
      <x:c r="H49" s="32"/>
      <x:c r="I49" s="26"/>
      <x:c r="J49" s="26"/>
      <x:c r="K49" s="33"/>
      <x:c r="L49" s="26"/>
      <x:c r="M49" s="26"/>
    </x:row>
    <x:row r="50">
      <x:c r="A50" s="26"/>
      <x:c r="B50" s="26"/>
      <x:c r="C50" s="26"/>
      <x:c r="D50" s="26"/>
      <x:c r="E50" s="26"/>
      <x:c r="F50" s="26"/>
      <x:c r="G50" s="32"/>
      <x:c r="H50" s="32"/>
      <x:c r="I50" s="26"/>
      <x:c r="J50" s="26"/>
      <x:c r="K50" s="33"/>
      <x:c r="L50" s="26"/>
      <x:c r="M50" s="26"/>
    </x:row>
    <x:row r="51">
      <x:c r="A51" s="26"/>
      <x:c r="B51" s="26"/>
      <x:c r="C51" s="26"/>
      <x:c r="D51" s="26"/>
      <x:c r="E51" s="26"/>
      <x:c r="F51" s="26"/>
      <x:c r="G51" s="32"/>
      <x:c r="H51" s="32"/>
      <x:c r="I51" s="26"/>
      <x:c r="J51" s="26"/>
      <x:c r="K51" s="33"/>
      <x:c r="L51" s="26"/>
      <x:c r="M51" s="26"/>
    </x:row>
    <x:row r="52">
      <x:c r="A52" s="26"/>
      <x:c r="B52" s="26"/>
      <x:c r="C52" s="26"/>
      <x:c r="D52" s="26"/>
      <x:c r="E52" s="26"/>
      <x:c r="F52" s="26"/>
      <x:c r="G52" s="32"/>
      <x:c r="H52" s="32"/>
      <x:c r="I52" s="26"/>
      <x:c r="J52" s="26"/>
      <x:c r="K52" s="33"/>
      <x:c r="L52" s="26"/>
      <x:c r="M52" s="26"/>
    </x:row>
    <x:row r="53">
      <x:c r="A53" s="26"/>
      <x:c r="B53" s="26"/>
      <x:c r="C53" s="26"/>
      <x:c r="D53" s="26"/>
      <x:c r="E53" s="26"/>
      <x:c r="F53" s="26"/>
      <x:c r="G53" s="32"/>
      <x:c r="H53" s="32"/>
      <x:c r="I53" s="26"/>
      <x:c r="J53" s="26"/>
      <x:c r="K53" s="33"/>
      <x:c r="L53" s="26"/>
      <x:c r="M53" s="26"/>
    </x:row>
    <x:row r="54">
      <x:c r="A54" s="26"/>
      <x:c r="B54" s="26"/>
      <x:c r="C54" s="26"/>
      <x:c r="D54" s="26"/>
      <x:c r="E54" s="26"/>
      <x:c r="F54" s="26"/>
      <x:c r="G54" s="32"/>
      <x:c r="H54" s="32"/>
      <x:c r="I54" s="26"/>
      <x:c r="J54" s="26"/>
      <x:c r="K54" s="33"/>
      <x:c r="L54" s="26"/>
      <x:c r="M54" s="26"/>
    </x:row>
    <x:row r="55">
      <x:c r="A55" s="26"/>
      <x:c r="B55" s="26"/>
      <x:c r="C55" s="26"/>
      <x:c r="D55" s="26"/>
      <x:c r="E55" s="26"/>
      <x:c r="F55" s="26"/>
      <x:c r="G55" s="32"/>
      <x:c r="H55" s="32"/>
      <x:c r="I55" s="26"/>
      <x:c r="J55" s="26"/>
      <x:c r="K55" s="33"/>
      <x:c r="L55" s="26"/>
      <x:c r="M55" s="26"/>
    </x:row>
    <x:row r="56">
      <x:c r="A56" s="26"/>
      <x:c r="B56" s="26"/>
      <x:c r="C56" s="26"/>
      <x:c r="D56" s="26"/>
      <x:c r="E56" s="26"/>
      <x:c r="F56" s="26"/>
      <x:c r="G56" s="32"/>
      <x:c r="H56" s="32"/>
      <x:c r="I56" s="26"/>
      <x:c r="J56" s="26"/>
      <x:c r="K56" s="33"/>
      <x:c r="L56" s="26"/>
      <x:c r="M56" s="26"/>
    </x:row>
    <x:row r="57">
      <x:c r="A57" s="26"/>
      <x:c r="B57" s="26"/>
      <x:c r="C57" s="26"/>
      <x:c r="D57" s="26"/>
      <x:c r="E57" s="26"/>
      <x:c r="F57" s="26"/>
      <x:c r="G57" s="32"/>
      <x:c r="H57" s="32"/>
      <x:c r="I57" s="26"/>
      <x:c r="J57" s="26"/>
      <x:c r="K57" s="33"/>
      <x:c r="L57" s="26"/>
      <x:c r="M57" s="26"/>
    </x:row>
    <x:row r="58">
      <x:c r="A58" s="26"/>
      <x:c r="B58" s="26"/>
      <x:c r="C58" s="26"/>
      <x:c r="D58" s="26"/>
      <x:c r="E58" s="26"/>
      <x:c r="F58" s="26"/>
      <x:c r="G58" s="32"/>
      <x:c r="H58" s="32"/>
      <x:c r="I58" s="26"/>
      <x:c r="J58" s="26"/>
      <x:c r="K58" s="33"/>
      <x:c r="L58" s="26"/>
      <x:c r="M58" s="26"/>
    </x:row>
    <x:row r="59">
      <x:c r="A59" s="26"/>
      <x:c r="B59" s="26"/>
      <x:c r="C59" s="26"/>
      <x:c r="D59" s="26"/>
      <x:c r="E59" s="26"/>
      <x:c r="F59" s="26"/>
      <x:c r="G59" s="32"/>
      <x:c r="H59" s="32"/>
      <x:c r="I59" s="26"/>
      <x:c r="J59" s="26"/>
      <x:c r="K59" s="33"/>
      <x:c r="L59" s="26"/>
      <x:c r="M59" s="26"/>
    </x:row>
    <x:row r="60">
      <x:c r="A60" s="26"/>
      <x:c r="B60" s="26"/>
      <x:c r="C60" s="26"/>
      <x:c r="D60" s="26"/>
      <x:c r="E60" s="26"/>
      <x:c r="F60" s="26"/>
      <x:c r="G60" s="32"/>
      <x:c r="H60" s="32"/>
      <x:c r="I60" s="26"/>
      <x:c r="J60" s="26"/>
      <x:c r="K60" s="33"/>
      <x:c r="L60" s="26"/>
      <x:c r="M60" s="26"/>
    </x:row>
    <x:row r="61">
      <x:c r="A61" s="26"/>
      <x:c r="B61" s="26"/>
      <x:c r="C61" s="26"/>
      <x:c r="D61" s="26"/>
      <x:c r="E61" s="26"/>
      <x:c r="F61" s="26"/>
      <x:c r="G61" s="32"/>
      <x:c r="H61" s="32"/>
      <x:c r="I61" s="26"/>
      <x:c r="J61" s="26"/>
      <x:c r="K61" s="33"/>
      <x:c r="L61" s="26"/>
      <x:c r="M61" s="26"/>
    </x:row>
    <x:row r="62">
      <x:c r="A62" s="26"/>
      <x:c r="B62" s="26"/>
      <x:c r="C62" s="26"/>
      <x:c r="D62" s="26"/>
      <x:c r="E62" s="26"/>
      <x:c r="F62" s="26"/>
      <x:c r="G62" s="32"/>
      <x:c r="H62" s="32"/>
      <x:c r="I62" s="26"/>
      <x:c r="J62" s="26"/>
      <x:c r="K62" s="33"/>
      <x:c r="L62" s="26"/>
      <x:c r="M62" s="26"/>
    </x:row>
    <x:row r="63">
      <x:c r="A63" s="26"/>
      <x:c r="B63" s="26"/>
      <x:c r="C63" s="26"/>
      <x:c r="D63" s="26"/>
      <x:c r="E63" s="26"/>
      <x:c r="F63" s="26"/>
      <x:c r="G63" s="32"/>
      <x:c r="H63" s="32"/>
      <x:c r="I63" s="26"/>
      <x:c r="J63" s="26"/>
      <x:c r="K63" s="33"/>
      <x:c r="L63" s="26"/>
      <x:c r="M63" s="26"/>
    </x:row>
    <x:row r="64">
      <x:c r="A64" s="26"/>
      <x:c r="B64" s="26"/>
      <x:c r="C64" s="26"/>
      <x:c r="D64" s="26"/>
      <x:c r="E64" s="26"/>
      <x:c r="F64" s="26"/>
      <x:c r="G64" s="32"/>
      <x:c r="H64" s="32"/>
      <x:c r="I64" s="26"/>
      <x:c r="J64" s="26"/>
      <x:c r="K64" s="33"/>
      <x:c r="L64" s="26"/>
      <x:c r="M64" s="26"/>
    </x:row>
    <x:row r="65">
      <x:c r="A65" s="26"/>
      <x:c r="B65" s="26"/>
      <x:c r="C65" s="26"/>
      <x:c r="D65" s="26"/>
      <x:c r="E65" s="26"/>
      <x:c r="F65" s="26"/>
      <x:c r="G65" s="32"/>
      <x:c r="H65" s="32"/>
      <x:c r="I65" s="26"/>
      <x:c r="J65" s="26"/>
      <x:c r="K65" s="33"/>
      <x:c r="L65" s="26"/>
      <x:c r="M65" s="26"/>
    </x:row>
    <x:row r="66">
      <x:c r="A66" s="26"/>
      <x:c r="B66" s="26"/>
      <x:c r="C66" s="26"/>
      <x:c r="D66" s="26"/>
      <x:c r="E66" s="26"/>
      <x:c r="F66" s="26"/>
      <x:c r="G66" s="32"/>
      <x:c r="H66" s="32"/>
      <x:c r="I66" s="26"/>
      <x:c r="J66" s="26"/>
      <x:c r="K66" s="33"/>
      <x:c r="L66" s="26"/>
      <x:c r="M66" s="26"/>
    </x:row>
    <x:row r="67">
      <x:c r="A67" s="26"/>
      <x:c r="B67" s="26"/>
      <x:c r="C67" s="26"/>
      <x:c r="D67" s="26"/>
      <x:c r="E67" s="26"/>
      <x:c r="F67" s="26"/>
      <x:c r="G67" s="32"/>
      <x:c r="H67" s="32"/>
      <x:c r="I67" s="26"/>
      <x:c r="J67" s="26"/>
      <x:c r="K67" s="33"/>
      <x:c r="L67" s="26"/>
      <x:c r="M67" s="26"/>
    </x:row>
    <x:row r="68">
      <x:c r="A68" s="26"/>
      <x:c r="B68" s="26"/>
      <x:c r="C68" s="26"/>
      <x:c r="D68" s="26"/>
      <x:c r="E68" s="26"/>
      <x:c r="F68" s="26"/>
      <x:c r="G68" s="32"/>
      <x:c r="H68" s="32"/>
      <x:c r="I68" s="26"/>
      <x:c r="J68" s="26"/>
      <x:c r="K68" s="33"/>
      <x:c r="L68" s="26"/>
      <x:c r="M68" s="26"/>
    </x:row>
    <x:row r="69">
      <x:c r="A69" s="26"/>
      <x:c r="B69" s="26"/>
      <x:c r="C69" s="26"/>
      <x:c r="D69" s="26"/>
      <x:c r="E69" s="26"/>
      <x:c r="F69" s="26"/>
      <x:c r="G69" s="32"/>
      <x:c r="H69" s="32"/>
      <x:c r="I69" s="26"/>
      <x:c r="J69" s="26"/>
      <x:c r="K69" s="33"/>
      <x:c r="L69" s="26"/>
      <x:c r="M69" s="26"/>
    </x:row>
    <x:row r="70">
      <x:c r="A70" s="26"/>
      <x:c r="B70" s="26"/>
      <x:c r="C70" s="26"/>
      <x:c r="D70" s="26"/>
      <x:c r="E70" s="26"/>
      <x:c r="F70" s="26"/>
      <x:c r="G70" s="32"/>
      <x:c r="H70" s="32"/>
      <x:c r="I70" s="26"/>
      <x:c r="J70" s="26"/>
      <x:c r="K70" s="33"/>
      <x:c r="L70" s="26"/>
      <x:c r="M70" s="26"/>
    </x:row>
    <x:row r="71">
      <x:c r="A71" s="26"/>
      <x:c r="B71" s="26"/>
      <x:c r="C71" s="26"/>
      <x:c r="D71" s="26"/>
      <x:c r="E71" s="26"/>
      <x:c r="F71" s="26"/>
      <x:c r="G71" s="32"/>
      <x:c r="H71" s="32"/>
      <x:c r="I71" s="26"/>
      <x:c r="J71" s="26"/>
      <x:c r="K71" s="33"/>
      <x:c r="L71" s="26"/>
      <x:c r="M71" s="26"/>
    </x:row>
    <x:row r="72">
      <x:c r="A72" s="26"/>
      <x:c r="B72" s="26"/>
      <x:c r="C72" s="26"/>
      <x:c r="D72" s="26"/>
      <x:c r="E72" s="26"/>
      <x:c r="F72" s="26"/>
      <x:c r="G72" s="32"/>
      <x:c r="H72" s="32"/>
      <x:c r="I72" s="26"/>
      <x:c r="J72" s="26"/>
      <x:c r="K72" s="33"/>
      <x:c r="L72" s="26"/>
      <x:c r="M72" s="26"/>
    </x:row>
    <x:row r="73">
      <x:c r="A73" s="26"/>
      <x:c r="B73" s="26"/>
      <x:c r="C73" s="26"/>
      <x:c r="D73" s="26"/>
      <x:c r="E73" s="26"/>
      <x:c r="F73" s="26"/>
      <x:c r="G73" s="32"/>
      <x:c r="H73" s="32"/>
      <x:c r="I73" s="26"/>
      <x:c r="J73" s="26"/>
      <x:c r="K73" s="33"/>
      <x:c r="L73" s="26"/>
      <x:c r="M73" s="26"/>
    </x:row>
    <x:row r="74">
      <x:c r="A74" s="26"/>
      <x:c r="B74" s="26"/>
      <x:c r="C74" s="26"/>
      <x:c r="D74" s="26"/>
      <x:c r="E74" s="26"/>
      <x:c r="F74" s="26"/>
      <x:c r="G74" s="32"/>
      <x:c r="H74" s="32"/>
      <x:c r="I74" s="26"/>
      <x:c r="J74" s="26"/>
      <x:c r="K74" s="33"/>
      <x:c r="L74" s="26"/>
      <x:c r="M74" s="26"/>
    </x:row>
    <x:row r="75">
      <x:c r="A75" s="26"/>
      <x:c r="B75" s="26"/>
      <x:c r="C75" s="26"/>
      <x:c r="D75" s="26"/>
      <x:c r="E75" s="26"/>
      <x:c r="F75" s="26"/>
      <x:c r="G75" s="32"/>
      <x:c r="H75" s="32"/>
      <x:c r="I75" s="26"/>
      <x:c r="J75" s="26"/>
      <x:c r="K75" s="33"/>
      <x:c r="L75" s="26"/>
      <x:c r="M75" s="26"/>
    </x:row>
    <x:row r="76">
      <x:c r="A76" s="26"/>
      <x:c r="B76" s="26"/>
      <x:c r="C76" s="26"/>
      <x:c r="D76" s="26"/>
      <x:c r="E76" s="26"/>
      <x:c r="F76" s="26"/>
      <x:c r="G76" s="32"/>
      <x:c r="H76" s="32"/>
      <x:c r="I76" s="26"/>
      <x:c r="J76" s="26"/>
      <x:c r="K76" s="33"/>
      <x:c r="L76" s="26"/>
      <x:c r="M76" s="26"/>
    </x:row>
    <x:row r="77">
      <x:c r="A77" s="26"/>
      <x:c r="B77" s="26"/>
      <x:c r="C77" s="26"/>
      <x:c r="D77" s="26"/>
      <x:c r="E77" s="26"/>
      <x:c r="F77" s="26"/>
      <x:c r="G77" s="32"/>
      <x:c r="H77" s="32"/>
      <x:c r="I77" s="26"/>
      <x:c r="J77" s="26"/>
      <x:c r="K77" s="33"/>
      <x:c r="L77" s="26"/>
      <x:c r="M77" s="26"/>
    </x:row>
    <x:row r="78">
      <x:c r="A78" s="26"/>
      <x:c r="B78" s="26"/>
      <x:c r="C78" s="26"/>
      <x:c r="D78" s="26"/>
      <x:c r="E78" s="26"/>
      <x:c r="F78" s="26"/>
      <x:c r="G78" s="32"/>
      <x:c r="H78" s="32"/>
      <x:c r="I78" s="26"/>
      <x:c r="J78" s="26"/>
      <x:c r="K78" s="33"/>
      <x:c r="L78" s="26"/>
      <x:c r="M78" s="26"/>
    </x:row>
    <x:row r="79">
      <x:c r="A79" s="26"/>
      <x:c r="B79" s="26"/>
      <x:c r="C79" s="26"/>
      <x:c r="D79" s="26"/>
      <x:c r="E79" s="26"/>
      <x:c r="F79" s="26"/>
      <x:c r="G79" s="32"/>
      <x:c r="H79" s="32"/>
      <x:c r="I79" s="26"/>
      <x:c r="J79" s="26"/>
      <x:c r="K79" s="33"/>
      <x:c r="L79" s="26"/>
      <x:c r="M79" s="26"/>
    </x:row>
    <x:row r="80">
      <x:c r="A80" s="26"/>
      <x:c r="B80" s="26"/>
      <x:c r="C80" s="26"/>
      <x:c r="D80" s="26"/>
      <x:c r="E80" s="26"/>
      <x:c r="F80" s="26"/>
      <x:c r="G80" s="32"/>
      <x:c r="H80" s="32"/>
      <x:c r="I80" s="26"/>
      <x:c r="J80" s="26"/>
      <x:c r="K80" s="33"/>
      <x:c r="L80" s="26"/>
      <x:c r="M80" s="26"/>
    </x:row>
    <x:row r="81">
      <x:c r="A81" s="26"/>
      <x:c r="B81" s="26"/>
      <x:c r="C81" s="26"/>
      <x:c r="D81" s="26"/>
      <x:c r="E81" s="26"/>
      <x:c r="F81" s="26"/>
      <x:c r="G81" s="32"/>
      <x:c r="H81" s="32"/>
      <x:c r="I81" s="26"/>
      <x:c r="J81" s="26"/>
      <x:c r="K81" s="33"/>
      <x:c r="L81" s="26"/>
      <x:c r="M81" s="26"/>
    </x:row>
    <x:row r="82">
      <x:c r="A82" s="26"/>
      <x:c r="B82" s="26"/>
      <x:c r="C82" s="26"/>
      <x:c r="D82" s="26"/>
      <x:c r="E82" s="26"/>
      <x:c r="F82" s="26"/>
      <x:c r="G82" s="32"/>
      <x:c r="H82" s="32"/>
      <x:c r="I82" s="26"/>
      <x:c r="J82" s="26"/>
      <x:c r="K82" s="33"/>
      <x:c r="L82" s="26"/>
      <x:c r="M82" s="26"/>
    </x:row>
    <x:row r="83">
      <x:c r="A83" s="26"/>
      <x:c r="B83" s="26"/>
      <x:c r="C83" s="26"/>
      <x:c r="D83" s="26"/>
      <x:c r="E83" s="26"/>
      <x:c r="F83" s="26"/>
      <x:c r="G83" s="32"/>
      <x:c r="H83" s="32"/>
      <x:c r="I83" s="26"/>
      <x:c r="J83" s="26"/>
      <x:c r="K83" s="33"/>
      <x:c r="L83" s="26"/>
      <x:c r="M83" s="26"/>
    </x:row>
    <x:row r="84">
      <x:c r="A84" s="26"/>
      <x:c r="B84" s="26"/>
      <x:c r="C84" s="26"/>
      <x:c r="D84" s="26"/>
      <x:c r="E84" s="26"/>
      <x:c r="F84" s="26"/>
      <x:c r="G84" s="32"/>
      <x:c r="H84" s="32"/>
      <x:c r="I84" s="26"/>
      <x:c r="J84" s="26"/>
      <x:c r="K84" s="33"/>
      <x:c r="L84" s="26"/>
      <x:c r="M84" s="26"/>
    </x:row>
    <x:row r="85">
      <x:c r="A85" s="26"/>
      <x:c r="B85" s="26"/>
      <x:c r="C85" s="26"/>
      <x:c r="D85" s="26"/>
      <x:c r="E85" s="26"/>
      <x:c r="F85" s="26"/>
      <x:c r="G85" s="32"/>
      <x:c r="H85" s="32"/>
      <x:c r="I85" s="26"/>
      <x:c r="J85" s="26"/>
      <x:c r="K85" s="33"/>
      <x:c r="L85" s="26"/>
      <x:c r="M85" s="26"/>
    </x:row>
    <x:row r="86">
      <x:c r="A86" s="26"/>
      <x:c r="B86" s="26"/>
      <x:c r="C86" s="26"/>
      <x:c r="D86" s="26"/>
      <x:c r="E86" s="26"/>
      <x:c r="F86" s="26"/>
      <x:c r="G86" s="32"/>
      <x:c r="H86" s="32"/>
      <x:c r="I86" s="26"/>
      <x:c r="J86" s="26"/>
      <x:c r="K86" s="33"/>
      <x:c r="L86" s="26"/>
      <x:c r="M86" s="26"/>
    </x:row>
    <x:row r="87">
      <x:c r="A87" s="26"/>
      <x:c r="B87" s="26"/>
      <x:c r="C87" s="26"/>
      <x:c r="D87" s="26"/>
      <x:c r="E87" s="26"/>
      <x:c r="F87" s="26"/>
      <x:c r="G87" s="32"/>
      <x:c r="H87" s="32"/>
      <x:c r="I87" s="26"/>
      <x:c r="J87" s="26"/>
      <x:c r="K87" s="33"/>
      <x:c r="L87" s="26"/>
      <x:c r="M87" s="26"/>
    </x:row>
    <x:row r="88">
      <x:c r="A88" s="26"/>
      <x:c r="B88" s="26"/>
      <x:c r="C88" s="26"/>
      <x:c r="D88" s="26"/>
      <x:c r="E88" s="26"/>
      <x:c r="F88" s="26"/>
      <x:c r="G88" s="32"/>
      <x:c r="H88" s="32"/>
      <x:c r="I88" s="26"/>
      <x:c r="J88" s="26"/>
      <x:c r="K88" s="33"/>
      <x:c r="L88" s="26"/>
      <x:c r="M88" s="26"/>
    </x:row>
    <x:row r="89">
      <x:c r="A89" s="26"/>
      <x:c r="B89" s="26"/>
      <x:c r="C89" s="26"/>
      <x:c r="D89" s="26"/>
      <x:c r="E89" s="26"/>
      <x:c r="F89" s="26"/>
      <x:c r="G89" s="32"/>
      <x:c r="H89" s="32"/>
      <x:c r="I89" s="26"/>
      <x:c r="J89" s="26"/>
      <x:c r="K89" s="33"/>
      <x:c r="L89" s="26"/>
      <x:c r="M89" s="26"/>
    </x:row>
    <x:row r="90">
      <x:c r="A90" s="26"/>
      <x:c r="B90" s="26"/>
      <x:c r="C90" s="26"/>
      <x:c r="D90" s="26"/>
      <x:c r="E90" s="26"/>
      <x:c r="F90" s="26"/>
      <x:c r="G90" s="32"/>
      <x:c r="H90" s="32"/>
      <x:c r="I90" s="26"/>
      <x:c r="J90" s="26"/>
      <x:c r="K90" s="33"/>
      <x:c r="L90" s="26"/>
      <x:c r="M90" s="26"/>
    </x:row>
    <x:row r="91">
      <x:c r="A91" s="26"/>
      <x:c r="B91" s="26"/>
      <x:c r="C91" s="26"/>
      <x:c r="D91" s="26"/>
      <x:c r="E91" s="26"/>
      <x:c r="F91" s="26"/>
      <x:c r="G91" s="32"/>
      <x:c r="H91" s="32"/>
      <x:c r="I91" s="26"/>
      <x:c r="J91" s="26"/>
      <x:c r="K91" s="33"/>
      <x:c r="L91" s="26"/>
      <x:c r="M91" s="26"/>
    </x:row>
    <x:row r="92">
      <x:c r="A92" s="26"/>
      <x:c r="B92" s="26"/>
      <x:c r="C92" s="26"/>
      <x:c r="D92" s="26"/>
      <x:c r="E92" s="26"/>
      <x:c r="F92" s="26"/>
      <x:c r="G92" s="32"/>
      <x:c r="H92" s="32"/>
      <x:c r="I92" s="26"/>
      <x:c r="J92" s="26"/>
      <x:c r="K92" s="33"/>
      <x:c r="L92" s="26"/>
      <x:c r="M92" s="26"/>
    </x:row>
    <x:row r="93">
      <x:c r="A93" s="26"/>
      <x:c r="B93" s="26"/>
      <x:c r="C93" s="26"/>
      <x:c r="D93" s="26"/>
      <x:c r="E93" s="26"/>
      <x:c r="F93" s="26"/>
      <x:c r="G93" s="32"/>
      <x:c r="H93" s="32"/>
      <x:c r="I93" s="26"/>
      <x:c r="J93" s="26"/>
      <x:c r="K93" s="33"/>
      <x:c r="L93" s="26"/>
      <x:c r="M93" s="26"/>
    </x:row>
    <x:row r="94">
      <x:c r="A94" s="26"/>
      <x:c r="B94" s="26"/>
      <x:c r="C94" s="26"/>
      <x:c r="D94" s="26"/>
      <x:c r="E94" s="26"/>
      <x:c r="F94" s="26"/>
      <x:c r="G94" s="32"/>
      <x:c r="H94" s="32"/>
      <x:c r="I94" s="26"/>
      <x:c r="J94" s="26"/>
      <x:c r="K94" s="33"/>
      <x:c r="L94" s="26"/>
      <x:c r="M94" s="26"/>
    </x:row>
    <x:row r="95">
      <x:c r="A95" s="26"/>
      <x:c r="B95" s="26"/>
      <x:c r="C95" s="26"/>
      <x:c r="D95" s="26"/>
      <x:c r="E95" s="26"/>
      <x:c r="F95" s="26"/>
      <x:c r="G95" s="32"/>
      <x:c r="H95" s="32"/>
      <x:c r="I95" s="26"/>
      <x:c r="J95" s="26"/>
      <x:c r="K95" s="33"/>
      <x:c r="L95" s="26"/>
      <x:c r="M95" s="26"/>
    </x:row>
    <x:row r="96">
      <x:c r="A96" s="26"/>
      <x:c r="B96" s="26"/>
      <x:c r="C96" s="26"/>
      <x:c r="D96" s="26"/>
      <x:c r="E96" s="26"/>
      <x:c r="F96" s="26"/>
      <x:c r="G96" s="32"/>
      <x:c r="H96" s="32"/>
      <x:c r="I96" s="26"/>
      <x:c r="J96" s="26"/>
      <x:c r="K96" s="33"/>
      <x:c r="L96" s="26"/>
      <x:c r="M96" s="26"/>
    </x:row>
    <x:row r="97">
      <x:c r="A97" s="26"/>
      <x:c r="B97" s="26"/>
      <x:c r="C97" s="26"/>
      <x:c r="D97" s="26"/>
      <x:c r="E97" s="26"/>
      <x:c r="F97" s="26"/>
      <x:c r="G97" s="32"/>
      <x:c r="H97" s="32"/>
      <x:c r="I97" s="26"/>
      <x:c r="J97" s="26"/>
      <x:c r="K97" s="33"/>
      <x:c r="L97" s="26"/>
      <x:c r="M97" s="26"/>
    </x:row>
    <x:row r="98">
      <x:c r="A98" s="26"/>
      <x:c r="B98" s="26"/>
      <x:c r="C98" s="26"/>
      <x:c r="D98" s="26"/>
      <x:c r="E98" s="26"/>
      <x:c r="F98" s="26"/>
      <x:c r="G98" s="32"/>
      <x:c r="H98" s="32"/>
      <x:c r="I98" s="26"/>
      <x:c r="J98" s="26"/>
      <x:c r="K98" s="33"/>
      <x:c r="L98" s="26"/>
      <x:c r="M98" s="26"/>
    </x:row>
    <x:row r="99">
      <x:c r="A99" s="26"/>
      <x:c r="B99" s="26"/>
      <x:c r="C99" s="26"/>
      <x:c r="D99" s="26"/>
      <x:c r="E99" s="26"/>
      <x:c r="F99" s="26"/>
      <x:c r="G99" s="32"/>
      <x:c r="H99" s="32"/>
      <x:c r="I99" s="26"/>
      <x:c r="J99" s="26"/>
      <x:c r="K99" s="33"/>
      <x:c r="L99" s="26"/>
      <x:c r="M99" s="26"/>
    </x:row>
    <x:row r="100">
      <x:c r="A100" s="26"/>
      <x:c r="B100" s="26"/>
      <x:c r="C100" s="26"/>
      <x:c r="D100" s="26"/>
      <x:c r="E100" s="26"/>
      <x:c r="F100" s="26"/>
      <x:c r="G100" s="32"/>
      <x:c r="H100" s="32"/>
      <x:c r="I100" s="26"/>
      <x:c r="J100" s="26"/>
      <x:c r="K100" s="33"/>
      <x:c r="L100" s="26"/>
      <x:c r="M100" s="26"/>
    </x:row>
    <x:row r="101">
      <x:c r="A101" s="26"/>
      <x:c r="B101" s="26"/>
      <x:c r="C101" s="26"/>
      <x:c r="D101" s="26"/>
      <x:c r="E101" s="26"/>
      <x:c r="F101" s="26"/>
      <x:c r="G101" s="32"/>
      <x:c r="H101" s="32"/>
      <x:c r="I101" s="26"/>
      <x:c r="J101" s="26"/>
      <x:c r="K101" s="33"/>
      <x:c r="L101" s="26"/>
      <x:c r="M101" s="26"/>
    </x:row>
    <x:row r="102">
      <x:c r="A102" s="26"/>
      <x:c r="B102" s="26"/>
      <x:c r="C102" s="26"/>
      <x:c r="D102" s="26"/>
      <x:c r="E102" s="26"/>
      <x:c r="F102" s="26"/>
      <x:c r="G102" s="32"/>
      <x:c r="H102" s="32"/>
      <x:c r="I102" s="26"/>
      <x:c r="J102" s="26"/>
      <x:c r="K102" s="33"/>
      <x:c r="L102" s="26"/>
      <x:c r="M102" s="26"/>
    </x:row>
    <x:row r="103">
      <x:c r="A103" s="26"/>
      <x:c r="B103" s="26"/>
      <x:c r="C103" s="26"/>
      <x:c r="D103" s="26"/>
      <x:c r="E103" s="26"/>
      <x:c r="F103" s="26"/>
      <x:c r="G103" s="32"/>
      <x:c r="H103" s="32"/>
      <x:c r="I103" s="26"/>
      <x:c r="J103" s="26"/>
      <x:c r="K103" s="33"/>
      <x:c r="L103" s="26"/>
      <x:c r="M103" s="26"/>
    </x:row>
    <x:row r="104">
      <x:c r="A104" s="23"/>
      <x:c r="B104" s="23"/>
      <x:c r="C104" s="23"/>
      <x:c r="D104" s="23"/>
      <x:c r="E104" s="23"/>
      <x:c r="F104" s="23"/>
      <x:c r="G104" s="34"/>
      <x:c r="H104" s="34"/>
      <x:c r="I104" s="23"/>
      <x:c r="J104" s="23"/>
      <x:c r="K104" s="35"/>
      <x:c r="L104" s="23"/>
      <x:c r="M104" s="23"/>
    </x:row>
  </x:sheetData>
  <x:mergeCells>
    <x:mergeCell ref="A1:H1"/>
    <x:mergeCell ref="A2:H2"/>
  </x:mergeCells>
  <x:dataValidations count="5">
    <x:dataValidation type="list" sqref="D5:D104">
      <x:formula1>"Yagiz,Team Member 2,Team Member 3,Unassigned"</x:formula1>
    </x:dataValidation>
    <x:dataValidation type="list" sqref="E5:E104">
      <x:formula1>"Backlog,Ready,In Progress,Review,Done,Blocked,Failed,Paused"</x:formula1>
    </x:dataValidation>
    <x:dataValidation type="list" sqref="F5:F104">
      <x:formula1>"P0,P1,P2,P3"</x:formula1>
    </x:dataValidation>
    <x:dataValidation type="list" sqref="I5:I104">
      <x:formula1>"TBD,Success,Partial,Failed"</x:formula1>
    </x:dataValidation>
    <x:dataValidation type="list" sqref="J5:J10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0a18b827dd44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8" hidden="0" customWidth="1"/>
    <x:col min="5" max="5" width="4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36" hidden="0" customWidth="1"/>
  </x:cols>
  <x:sheetData>
    <x:row r="1" ht="30" customHeight="1">
      <x:c r="A1" s="37" t="str">
        <x:v>Idea Inbox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>
      <x:c r="A2" s="24" t="str">
        <x:v>Task'a dönüşmeden önce fikirleri burada toplayın. Kabul edilen fikir için Linked Task ID doldurun.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5" t="str">
        <x:v>Idea ID</x:v>
      </x:c>
      <x:c r="B4" s="25" t="str">
        <x:v>Submitted By</x:v>
      </x:c>
      <x:c r="C4" s="25" t="str">
        <x:v>Date</x:v>
      </x:c>
      <x:c r="D4" s="25" t="str">
        <x:v>Workstream</x:v>
      </x:c>
      <x:c r="E4" s="25" t="str">
        <x:v>Idea / Request</x:v>
      </x:c>
      <x:c r="F4" s="25" t="str">
        <x:v>Impact</x:v>
      </x:c>
      <x:c r="G4" s="25" t="str">
        <x:v>Effort</x:v>
      </x:c>
      <x:c r="H4" s="25" t="str">
        <x:v>Decision</x:v>
      </x:c>
      <x:c r="I4" s="25" t="str">
        <x:v>Linked Task ID</x:v>
      </x:c>
      <x:c r="J4" s="25" t="str">
        <x:v>Notes</x:v>
      </x:c>
    </x:row>
    <x:row r="5">
      <x:c r="A5" s="26" t="str">
        <x:v>I-001</x:v>
      </x:c>
      <x:c r="B5" s="26" t="str">
        <x:v>Yagiz</x:v>
      </x:c>
      <x:c r="C5" s="32" t="n">
        <x:v>46206</x:v>
      </x:c>
      <x:c r="D5" s="26" t="str">
        <x:v>Product</x:v>
      </x:c>
      <x:c r="E5" s="26" t="str">
        <x:v>Task execution steps should appear progressively on map.</x:v>
      </x:c>
      <x:c r="F5" s="26" t="str">
        <x:v>High</x:v>
      </x:c>
      <x:c r="G5" s="26" t="str">
        <x:v>Medium</x:v>
      </x:c>
      <x:c r="H5" s="26" t="str">
        <x:v>Accepted</x:v>
      </x:c>
      <x:c r="I5" s="26" t="str">
        <x:v>T-004</x:v>
      </x:c>
      <x:c r="J5" s="26" t="str">
        <x:v>Turn into implementation task.</x:v>
      </x:c>
    </x:row>
    <x:row r="6">
      <x:c r="A6" s="26" t="str">
        <x:v>I-002</x:v>
      </x:c>
      <x:c r="B6" s="26" t="str">
        <x:v>Team Member 2</x:v>
      </x:c>
      <x:c r="C6" s="32" t="str"/>
      <x:c r="D6" s="26" t="str">
        <x:v>Core GIS</x:v>
      </x:c>
      <x:c r="E6" s="26" t="str">
        <x:v>Add centroid and simplify tools after measurements.</x:v>
      </x:c>
      <x:c r="F6" s="26" t="str">
        <x:v>High</x:v>
      </x:c>
      <x:c r="G6" s="26" t="str">
        <x:v>Low</x:v>
      </x:c>
      <x:c r="H6" s="26" t="str">
        <x:v>Open</x:v>
      </x:c>
      <x:c r="I6" s="26" t="str"/>
      <x:c r="J6" s="26" t="str">
        <x:v>From eval findings Tier-1.</x:v>
      </x:c>
    </x:row>
    <x:row r="7">
      <x:c r="A7" s="26"/>
      <x:c r="B7" s="26"/>
      <x:c r="C7" s="32"/>
      <x:c r="D7" s="26"/>
      <x:c r="E7" s="26"/>
      <x:c r="F7" s="26"/>
      <x:c r="G7" s="26"/>
      <x:c r="H7" s="26"/>
      <x:c r="I7" s="26"/>
      <x:c r="J7" s="26"/>
    </x:row>
    <x:row r="8">
      <x:c r="A8" s="26"/>
      <x:c r="B8" s="26"/>
      <x:c r="C8" s="32"/>
      <x:c r="D8" s="26"/>
      <x:c r="E8" s="26"/>
      <x:c r="F8" s="26"/>
      <x:c r="G8" s="26"/>
      <x:c r="H8" s="26"/>
      <x:c r="I8" s="26"/>
      <x:c r="J8" s="26"/>
    </x:row>
    <x:row r="9">
      <x:c r="A9" s="26"/>
      <x:c r="B9" s="26"/>
      <x:c r="C9" s="32"/>
      <x:c r="D9" s="26"/>
      <x:c r="E9" s="26"/>
      <x:c r="F9" s="26"/>
      <x:c r="G9" s="26"/>
      <x:c r="H9" s="26"/>
      <x:c r="I9" s="26"/>
      <x:c r="J9" s="26"/>
    </x:row>
    <x:row r="10">
      <x:c r="A10" s="26"/>
      <x:c r="B10" s="26"/>
      <x:c r="C10" s="32"/>
      <x:c r="D10" s="26"/>
      <x:c r="E10" s="26"/>
      <x:c r="F10" s="26"/>
      <x:c r="G10" s="26"/>
      <x:c r="H10" s="26"/>
      <x:c r="I10" s="26"/>
      <x:c r="J10" s="26"/>
    </x:row>
    <x:row r="11">
      <x:c r="A11" s="26"/>
      <x:c r="B11" s="26"/>
      <x:c r="C11" s="32"/>
      <x:c r="D11" s="26"/>
      <x:c r="E11" s="26"/>
      <x:c r="F11" s="26"/>
      <x:c r="G11" s="26"/>
      <x:c r="H11" s="26"/>
      <x:c r="I11" s="26"/>
      <x:c r="J11" s="26"/>
    </x:row>
    <x:row r="12">
      <x:c r="A12" s="26"/>
      <x:c r="B12" s="26"/>
      <x:c r="C12" s="32"/>
      <x:c r="D12" s="26"/>
      <x:c r="E12" s="26"/>
      <x:c r="F12" s="26"/>
      <x:c r="G12" s="26"/>
      <x:c r="H12" s="26"/>
      <x:c r="I12" s="26"/>
      <x:c r="J12" s="26"/>
    </x:row>
    <x:row r="13">
      <x:c r="A13" s="26"/>
      <x:c r="B13" s="26"/>
      <x:c r="C13" s="32"/>
      <x:c r="D13" s="26"/>
      <x:c r="E13" s="26"/>
      <x:c r="F13" s="26"/>
      <x:c r="G13" s="26"/>
      <x:c r="H13" s="26"/>
      <x:c r="I13" s="26"/>
      <x:c r="J13" s="26"/>
    </x:row>
    <x:row r="14">
      <x:c r="A14" s="26"/>
      <x:c r="B14" s="26"/>
      <x:c r="C14" s="32"/>
      <x:c r="D14" s="26"/>
      <x:c r="E14" s="26"/>
      <x:c r="F14" s="26"/>
      <x:c r="G14" s="26"/>
      <x:c r="H14" s="26"/>
      <x:c r="I14" s="26"/>
      <x:c r="J14" s="26"/>
    </x:row>
    <x:row r="15">
      <x:c r="A15" s="26"/>
      <x:c r="B15" s="26"/>
      <x:c r="C15" s="32"/>
      <x:c r="D15" s="26"/>
      <x:c r="E15" s="26"/>
      <x:c r="F15" s="26"/>
      <x:c r="G15" s="26"/>
      <x:c r="H15" s="26"/>
      <x:c r="I15" s="26"/>
      <x:c r="J15" s="26"/>
    </x:row>
    <x:row r="16">
      <x:c r="A16" s="26"/>
      <x:c r="B16" s="26"/>
      <x:c r="C16" s="32"/>
      <x:c r="D16" s="26"/>
      <x:c r="E16" s="26"/>
      <x:c r="F16" s="26"/>
      <x:c r="G16" s="26"/>
      <x:c r="H16" s="26"/>
      <x:c r="I16" s="26"/>
      <x:c r="J16" s="26"/>
    </x:row>
    <x:row r="17">
      <x:c r="A17" s="26"/>
      <x:c r="B17" s="26"/>
      <x:c r="C17" s="32"/>
      <x:c r="D17" s="26"/>
      <x:c r="E17" s="26"/>
      <x:c r="F17" s="26"/>
      <x:c r="G17" s="26"/>
      <x:c r="H17" s="26"/>
      <x:c r="I17" s="26"/>
      <x:c r="J17" s="26"/>
    </x:row>
    <x:row r="18">
      <x:c r="A18" s="26"/>
      <x:c r="B18" s="26"/>
      <x:c r="C18" s="32"/>
      <x:c r="D18" s="26"/>
      <x:c r="E18" s="26"/>
      <x:c r="F18" s="26"/>
      <x:c r="G18" s="26"/>
      <x:c r="H18" s="26"/>
      <x:c r="I18" s="26"/>
      <x:c r="J18" s="26"/>
    </x:row>
    <x:row r="19">
      <x:c r="A19" s="26"/>
      <x:c r="B19" s="26"/>
      <x:c r="C19" s="32"/>
      <x:c r="D19" s="26"/>
      <x:c r="E19" s="26"/>
      <x:c r="F19" s="26"/>
      <x:c r="G19" s="26"/>
      <x:c r="H19" s="26"/>
      <x:c r="I19" s="26"/>
      <x:c r="J19" s="26"/>
    </x:row>
    <x:row r="20">
      <x:c r="A20" s="26"/>
      <x:c r="B20" s="26"/>
      <x:c r="C20" s="32"/>
      <x:c r="D20" s="26"/>
      <x:c r="E20" s="26"/>
      <x:c r="F20" s="26"/>
      <x:c r="G20" s="26"/>
      <x:c r="H20" s="26"/>
      <x:c r="I20" s="26"/>
      <x:c r="J20" s="26"/>
    </x:row>
    <x:row r="21">
      <x:c r="A21" s="26"/>
      <x:c r="B21" s="26"/>
      <x:c r="C21" s="32"/>
      <x:c r="D21" s="26"/>
      <x:c r="E21" s="26"/>
      <x:c r="F21" s="26"/>
      <x:c r="G21" s="26"/>
      <x:c r="H21" s="26"/>
      <x:c r="I21" s="26"/>
      <x:c r="J21" s="26"/>
    </x:row>
    <x:row r="22">
      <x:c r="A22" s="26"/>
      <x:c r="B22" s="26"/>
      <x:c r="C22" s="32"/>
      <x:c r="D22" s="26"/>
      <x:c r="E22" s="26"/>
      <x:c r="F22" s="26"/>
      <x:c r="G22" s="26"/>
      <x:c r="H22" s="26"/>
      <x:c r="I22" s="26"/>
      <x:c r="J22" s="26"/>
    </x:row>
    <x:row r="23">
      <x:c r="A23" s="26"/>
      <x:c r="B23" s="26"/>
      <x:c r="C23" s="32"/>
      <x:c r="D23" s="26"/>
      <x:c r="E23" s="26"/>
      <x:c r="F23" s="26"/>
      <x:c r="G23" s="26"/>
      <x:c r="H23" s="26"/>
      <x:c r="I23" s="26"/>
      <x:c r="J23" s="26"/>
    </x:row>
    <x:row r="24">
      <x:c r="A24" s="26"/>
      <x:c r="B24" s="26"/>
      <x:c r="C24" s="32"/>
      <x:c r="D24" s="26"/>
      <x:c r="E24" s="26"/>
      <x:c r="F24" s="26"/>
      <x:c r="G24" s="26"/>
      <x:c r="H24" s="26"/>
      <x:c r="I24" s="26"/>
      <x:c r="J24" s="26"/>
    </x:row>
    <x:row r="25">
      <x:c r="A25" s="26"/>
      <x:c r="B25" s="26"/>
      <x:c r="C25" s="32"/>
      <x:c r="D25" s="26"/>
      <x:c r="E25" s="26"/>
      <x:c r="F25" s="26"/>
      <x:c r="G25" s="26"/>
      <x:c r="H25" s="26"/>
      <x:c r="I25" s="26"/>
      <x:c r="J25" s="26"/>
    </x:row>
    <x:row r="26">
      <x:c r="A26" s="26"/>
      <x:c r="B26" s="26"/>
      <x:c r="C26" s="32"/>
      <x:c r="D26" s="26"/>
      <x:c r="E26" s="26"/>
      <x:c r="F26" s="26"/>
      <x:c r="G26" s="26"/>
      <x:c r="H26" s="26"/>
      <x:c r="I26" s="26"/>
      <x:c r="J26" s="26"/>
    </x:row>
    <x:row r="27">
      <x:c r="A27" s="26"/>
      <x:c r="B27" s="26"/>
      <x:c r="C27" s="32"/>
      <x:c r="D27" s="26"/>
      <x:c r="E27" s="26"/>
      <x:c r="F27" s="26"/>
      <x:c r="G27" s="26"/>
      <x:c r="H27" s="26"/>
      <x:c r="I27" s="26"/>
      <x:c r="J27" s="26"/>
    </x:row>
    <x:row r="28">
      <x:c r="A28" s="26"/>
      <x:c r="B28" s="26"/>
      <x:c r="C28" s="32"/>
      <x:c r="D28" s="26"/>
      <x:c r="E28" s="26"/>
      <x:c r="F28" s="26"/>
      <x:c r="G28" s="26"/>
      <x:c r="H28" s="26"/>
      <x:c r="I28" s="26"/>
      <x:c r="J28" s="26"/>
    </x:row>
    <x:row r="29">
      <x:c r="A29" s="26"/>
      <x:c r="B29" s="26"/>
      <x:c r="C29" s="32"/>
      <x:c r="D29" s="26"/>
      <x:c r="E29" s="26"/>
      <x:c r="F29" s="26"/>
      <x:c r="G29" s="26"/>
      <x:c r="H29" s="26"/>
      <x:c r="I29" s="26"/>
      <x:c r="J29" s="26"/>
    </x:row>
    <x:row r="30">
      <x:c r="A30" s="26"/>
      <x:c r="B30" s="26"/>
      <x:c r="C30" s="32"/>
      <x:c r="D30" s="26"/>
      <x:c r="E30" s="26"/>
      <x:c r="F30" s="26"/>
      <x:c r="G30" s="26"/>
      <x:c r="H30" s="26"/>
      <x:c r="I30" s="26"/>
      <x:c r="J30" s="26"/>
    </x:row>
    <x:row r="31">
      <x:c r="A31" s="26"/>
      <x:c r="B31" s="26"/>
      <x:c r="C31" s="32"/>
      <x:c r="D31" s="26"/>
      <x:c r="E31" s="26"/>
      <x:c r="F31" s="26"/>
      <x:c r="G31" s="26"/>
      <x:c r="H31" s="26"/>
      <x:c r="I31" s="26"/>
      <x:c r="J31" s="26"/>
    </x:row>
    <x:row r="32">
      <x:c r="A32" s="26"/>
      <x:c r="B32" s="26"/>
      <x:c r="C32" s="32"/>
      <x:c r="D32" s="26"/>
      <x:c r="E32" s="26"/>
      <x:c r="F32" s="26"/>
      <x:c r="G32" s="26"/>
      <x:c r="H32" s="26"/>
      <x:c r="I32" s="26"/>
      <x:c r="J32" s="26"/>
    </x:row>
    <x:row r="33">
      <x:c r="A33" s="26"/>
      <x:c r="B33" s="26"/>
      <x:c r="C33" s="32"/>
      <x:c r="D33" s="26"/>
      <x:c r="E33" s="26"/>
      <x:c r="F33" s="26"/>
      <x:c r="G33" s="26"/>
      <x:c r="H33" s="26"/>
      <x:c r="I33" s="26"/>
      <x:c r="J33" s="26"/>
    </x:row>
    <x:row r="34">
      <x:c r="A34" s="26"/>
      <x:c r="B34" s="26"/>
      <x:c r="C34" s="32"/>
      <x:c r="D34" s="26"/>
      <x:c r="E34" s="26"/>
      <x:c r="F34" s="26"/>
      <x:c r="G34" s="26"/>
      <x:c r="H34" s="26"/>
      <x:c r="I34" s="26"/>
      <x:c r="J34" s="26"/>
    </x:row>
    <x:row r="35">
      <x:c r="A35" s="26"/>
      <x:c r="B35" s="26"/>
      <x:c r="C35" s="32"/>
      <x:c r="D35" s="26"/>
      <x:c r="E35" s="26"/>
      <x:c r="F35" s="26"/>
      <x:c r="G35" s="26"/>
      <x:c r="H35" s="26"/>
      <x:c r="I35" s="26"/>
      <x:c r="J35" s="26"/>
    </x:row>
    <x:row r="36">
      <x:c r="A36" s="26"/>
      <x:c r="B36" s="26"/>
      <x:c r="C36" s="32"/>
      <x:c r="D36" s="26"/>
      <x:c r="E36" s="26"/>
      <x:c r="F36" s="26"/>
      <x:c r="G36" s="26"/>
      <x:c r="H36" s="26"/>
      <x:c r="I36" s="26"/>
      <x:c r="J36" s="26"/>
    </x:row>
    <x:row r="37">
      <x:c r="A37" s="26"/>
      <x:c r="B37" s="26"/>
      <x:c r="C37" s="32"/>
      <x:c r="D37" s="26"/>
      <x:c r="E37" s="26"/>
      <x:c r="F37" s="26"/>
      <x:c r="G37" s="26"/>
      <x:c r="H37" s="26"/>
      <x:c r="I37" s="26"/>
      <x:c r="J37" s="26"/>
    </x:row>
    <x:row r="38">
      <x:c r="A38" s="26"/>
      <x:c r="B38" s="26"/>
      <x:c r="C38" s="32"/>
      <x:c r="D38" s="26"/>
      <x:c r="E38" s="26"/>
      <x:c r="F38" s="26"/>
      <x:c r="G38" s="26"/>
      <x:c r="H38" s="26"/>
      <x:c r="I38" s="26"/>
      <x:c r="J38" s="26"/>
    </x:row>
    <x:row r="39">
      <x:c r="A39" s="26"/>
      <x:c r="B39" s="26"/>
      <x:c r="C39" s="32"/>
      <x:c r="D39" s="26"/>
      <x:c r="E39" s="26"/>
      <x:c r="F39" s="26"/>
      <x:c r="G39" s="26"/>
      <x:c r="H39" s="26"/>
      <x:c r="I39" s="26"/>
      <x:c r="J39" s="26"/>
    </x:row>
    <x:row r="40">
      <x:c r="A40" s="26"/>
      <x:c r="B40" s="26"/>
      <x:c r="C40" s="32"/>
      <x:c r="D40" s="26"/>
      <x:c r="E40" s="26"/>
      <x:c r="F40" s="26"/>
      <x:c r="G40" s="26"/>
      <x:c r="H40" s="26"/>
      <x:c r="I40" s="26"/>
      <x:c r="J40" s="26"/>
    </x:row>
    <x:row r="41">
      <x:c r="A41" s="26"/>
      <x:c r="B41" s="26"/>
      <x:c r="C41" s="32"/>
      <x:c r="D41" s="26"/>
      <x:c r="E41" s="26"/>
      <x:c r="F41" s="26"/>
      <x:c r="G41" s="26"/>
      <x:c r="H41" s="26"/>
      <x:c r="I41" s="26"/>
      <x:c r="J41" s="26"/>
    </x:row>
    <x:row r="42">
      <x:c r="A42" s="26"/>
      <x:c r="B42" s="26"/>
      <x:c r="C42" s="32"/>
      <x:c r="D42" s="26"/>
      <x:c r="E42" s="26"/>
      <x:c r="F42" s="26"/>
      <x:c r="G42" s="26"/>
      <x:c r="H42" s="26"/>
      <x:c r="I42" s="26"/>
      <x:c r="J42" s="26"/>
    </x:row>
    <x:row r="43">
      <x:c r="A43" s="26"/>
      <x:c r="B43" s="26"/>
      <x:c r="C43" s="32"/>
      <x:c r="D43" s="26"/>
      <x:c r="E43" s="26"/>
      <x:c r="F43" s="26"/>
      <x:c r="G43" s="26"/>
      <x:c r="H43" s="26"/>
      <x:c r="I43" s="26"/>
      <x:c r="J43" s="26"/>
    </x:row>
    <x:row r="44">
      <x:c r="A44" s="26"/>
      <x:c r="B44" s="26"/>
      <x:c r="C44" s="32"/>
      <x:c r="D44" s="26"/>
      <x:c r="E44" s="26"/>
      <x:c r="F44" s="26"/>
      <x:c r="G44" s="26"/>
      <x:c r="H44" s="26"/>
      <x:c r="I44" s="26"/>
      <x:c r="J44" s="26"/>
    </x:row>
    <x:row r="45">
      <x:c r="A45" s="26"/>
      <x:c r="B45" s="26"/>
      <x:c r="C45" s="32"/>
      <x:c r="D45" s="26"/>
      <x:c r="E45" s="26"/>
      <x:c r="F45" s="26"/>
      <x:c r="G45" s="26"/>
      <x:c r="H45" s="26"/>
      <x:c r="I45" s="26"/>
      <x:c r="J45" s="26"/>
    </x:row>
    <x:row r="46">
      <x:c r="A46" s="26"/>
      <x:c r="B46" s="26"/>
      <x:c r="C46" s="32"/>
      <x:c r="D46" s="26"/>
      <x:c r="E46" s="26"/>
      <x:c r="F46" s="26"/>
      <x:c r="G46" s="26"/>
      <x:c r="H46" s="26"/>
      <x:c r="I46" s="26"/>
      <x:c r="J46" s="26"/>
    </x:row>
    <x:row r="47">
      <x:c r="A47" s="26"/>
      <x:c r="B47" s="26"/>
      <x:c r="C47" s="32"/>
      <x:c r="D47" s="26"/>
      <x:c r="E47" s="26"/>
      <x:c r="F47" s="26"/>
      <x:c r="G47" s="26"/>
      <x:c r="H47" s="26"/>
      <x:c r="I47" s="26"/>
      <x:c r="J47" s="26"/>
    </x:row>
    <x:row r="48">
      <x:c r="A48" s="26"/>
      <x:c r="B48" s="26"/>
      <x:c r="C48" s="32"/>
      <x:c r="D48" s="26"/>
      <x:c r="E48" s="26"/>
      <x:c r="F48" s="26"/>
      <x:c r="G48" s="26"/>
      <x:c r="H48" s="26"/>
      <x:c r="I48" s="26"/>
      <x:c r="J48" s="26"/>
    </x:row>
    <x:row r="49">
      <x:c r="A49" s="26"/>
      <x:c r="B49" s="26"/>
      <x:c r="C49" s="32"/>
      <x:c r="D49" s="26"/>
      <x:c r="E49" s="26"/>
      <x:c r="F49" s="26"/>
      <x:c r="G49" s="26"/>
      <x:c r="H49" s="26"/>
      <x:c r="I49" s="26"/>
      <x:c r="J49" s="26"/>
    </x:row>
    <x:row r="50">
      <x:c r="A50" s="26"/>
      <x:c r="B50" s="26"/>
      <x:c r="C50" s="32"/>
      <x:c r="D50" s="26"/>
      <x:c r="E50" s="26"/>
      <x:c r="F50" s="26"/>
      <x:c r="G50" s="26"/>
      <x:c r="H50" s="26"/>
      <x:c r="I50" s="26"/>
      <x:c r="J50" s="26"/>
    </x:row>
    <x:row r="51">
      <x:c r="A51" s="26"/>
      <x:c r="B51" s="26"/>
      <x:c r="C51" s="32"/>
      <x:c r="D51" s="26"/>
      <x:c r="E51" s="26"/>
      <x:c r="F51" s="26"/>
      <x:c r="G51" s="26"/>
      <x:c r="H51" s="26"/>
      <x:c r="I51" s="26"/>
      <x:c r="J51" s="26"/>
    </x:row>
    <x:row r="52">
      <x:c r="A52" s="26"/>
      <x:c r="B52" s="26"/>
      <x:c r="C52" s="32"/>
      <x:c r="D52" s="26"/>
      <x:c r="E52" s="26"/>
      <x:c r="F52" s="26"/>
      <x:c r="G52" s="26"/>
      <x:c r="H52" s="26"/>
      <x:c r="I52" s="26"/>
      <x:c r="J52" s="26"/>
    </x:row>
    <x:row r="53">
      <x:c r="A53" s="26"/>
      <x:c r="B53" s="26"/>
      <x:c r="C53" s="32"/>
      <x:c r="D53" s="26"/>
      <x:c r="E53" s="26"/>
      <x:c r="F53" s="26"/>
      <x:c r="G53" s="26"/>
      <x:c r="H53" s="26"/>
      <x:c r="I53" s="26"/>
      <x:c r="J53" s="26"/>
    </x:row>
    <x:row r="54">
      <x:c r="A54" s="26"/>
      <x:c r="B54" s="26"/>
      <x:c r="C54" s="32"/>
      <x:c r="D54" s="26"/>
      <x:c r="E54" s="26"/>
      <x:c r="F54" s="26"/>
      <x:c r="G54" s="26"/>
      <x:c r="H54" s="26"/>
      <x:c r="I54" s="26"/>
      <x:c r="J54" s="26"/>
    </x:row>
    <x:row r="55">
      <x:c r="A55" s="26"/>
      <x:c r="B55" s="26"/>
      <x:c r="C55" s="32"/>
      <x:c r="D55" s="26"/>
      <x:c r="E55" s="26"/>
      <x:c r="F55" s="26"/>
      <x:c r="G55" s="26"/>
      <x:c r="H55" s="26"/>
      <x:c r="I55" s="26"/>
      <x:c r="J55" s="26"/>
    </x:row>
    <x:row r="56">
      <x:c r="A56" s="26"/>
      <x:c r="B56" s="26"/>
      <x:c r="C56" s="32"/>
      <x:c r="D56" s="26"/>
      <x:c r="E56" s="26"/>
      <x:c r="F56" s="26"/>
      <x:c r="G56" s="26"/>
      <x:c r="H56" s="26"/>
      <x:c r="I56" s="26"/>
      <x:c r="J56" s="26"/>
    </x:row>
    <x:row r="57">
      <x:c r="A57" s="26"/>
      <x:c r="B57" s="26"/>
      <x:c r="C57" s="32"/>
      <x:c r="D57" s="26"/>
      <x:c r="E57" s="26"/>
      <x:c r="F57" s="26"/>
      <x:c r="G57" s="26"/>
      <x:c r="H57" s="26"/>
      <x:c r="I57" s="26"/>
      <x:c r="J57" s="26"/>
    </x:row>
    <x:row r="58">
      <x:c r="A58" s="26"/>
      <x:c r="B58" s="26"/>
      <x:c r="C58" s="32"/>
      <x:c r="D58" s="26"/>
      <x:c r="E58" s="26"/>
      <x:c r="F58" s="26"/>
      <x:c r="G58" s="26"/>
      <x:c r="H58" s="26"/>
      <x:c r="I58" s="26"/>
      <x:c r="J58" s="26"/>
    </x:row>
    <x:row r="59">
      <x:c r="A59" s="26"/>
      <x:c r="B59" s="26"/>
      <x:c r="C59" s="32"/>
      <x:c r="D59" s="26"/>
      <x:c r="E59" s="26"/>
      <x:c r="F59" s="26"/>
      <x:c r="G59" s="26"/>
      <x:c r="H59" s="26"/>
      <x:c r="I59" s="26"/>
      <x:c r="J59" s="26"/>
    </x:row>
    <x:row r="60">
      <x:c r="A60" s="26"/>
      <x:c r="B60" s="26"/>
      <x:c r="C60" s="32"/>
      <x:c r="D60" s="26"/>
      <x:c r="E60" s="26"/>
      <x:c r="F60" s="26"/>
      <x:c r="G60" s="26"/>
      <x:c r="H60" s="26"/>
      <x:c r="I60" s="26"/>
      <x:c r="J60" s="26"/>
    </x:row>
    <x:row r="61">
      <x:c r="A61" s="26"/>
      <x:c r="B61" s="26"/>
      <x:c r="C61" s="32"/>
      <x:c r="D61" s="26"/>
      <x:c r="E61" s="26"/>
      <x:c r="F61" s="26"/>
      <x:c r="G61" s="26"/>
      <x:c r="H61" s="26"/>
      <x:c r="I61" s="26"/>
      <x:c r="J61" s="26"/>
    </x:row>
    <x:row r="62">
      <x:c r="A62" s="26"/>
      <x:c r="B62" s="26"/>
      <x:c r="C62" s="32"/>
      <x:c r="D62" s="26"/>
      <x:c r="E62" s="26"/>
      <x:c r="F62" s="26"/>
      <x:c r="G62" s="26"/>
      <x:c r="H62" s="26"/>
      <x:c r="I62" s="26"/>
      <x:c r="J62" s="26"/>
    </x:row>
    <x:row r="63">
      <x:c r="A63" s="26"/>
      <x:c r="B63" s="26"/>
      <x:c r="C63" s="32"/>
      <x:c r="D63" s="26"/>
      <x:c r="E63" s="26"/>
      <x:c r="F63" s="26"/>
      <x:c r="G63" s="26"/>
      <x:c r="H63" s="26"/>
      <x:c r="I63" s="26"/>
      <x:c r="J63" s="26"/>
    </x:row>
    <x:row r="64">
      <x:c r="A64" s="26"/>
      <x:c r="B64" s="26"/>
      <x:c r="C64" s="32"/>
      <x:c r="D64" s="26"/>
      <x:c r="E64" s="26"/>
      <x:c r="F64" s="26"/>
      <x:c r="G64" s="26"/>
      <x:c r="H64" s="26"/>
      <x:c r="I64" s="26"/>
      <x:c r="J64" s="26"/>
    </x:row>
    <x:row r="65">
      <x:c r="A65" s="26"/>
      <x:c r="B65" s="26"/>
      <x:c r="C65" s="32"/>
      <x:c r="D65" s="26"/>
      <x:c r="E65" s="26"/>
      <x:c r="F65" s="26"/>
      <x:c r="G65" s="26"/>
      <x:c r="H65" s="26"/>
      <x:c r="I65" s="26"/>
      <x:c r="J65" s="26"/>
    </x:row>
    <x:row r="66">
      <x:c r="A66" s="26"/>
      <x:c r="B66" s="26"/>
      <x:c r="C66" s="32"/>
      <x:c r="D66" s="26"/>
      <x:c r="E66" s="26"/>
      <x:c r="F66" s="26"/>
      <x:c r="G66" s="26"/>
      <x:c r="H66" s="26"/>
      <x:c r="I66" s="26"/>
      <x:c r="J66" s="26"/>
    </x:row>
    <x:row r="67">
      <x:c r="A67" s="26"/>
      <x:c r="B67" s="26"/>
      <x:c r="C67" s="32"/>
      <x:c r="D67" s="26"/>
      <x:c r="E67" s="26"/>
      <x:c r="F67" s="26"/>
      <x:c r="G67" s="26"/>
      <x:c r="H67" s="26"/>
      <x:c r="I67" s="26"/>
      <x:c r="J67" s="26"/>
    </x:row>
    <x:row r="68">
      <x:c r="A68" s="26"/>
      <x:c r="B68" s="26"/>
      <x:c r="C68" s="32"/>
      <x:c r="D68" s="26"/>
      <x:c r="E68" s="26"/>
      <x:c r="F68" s="26"/>
      <x:c r="G68" s="26"/>
      <x:c r="H68" s="26"/>
      <x:c r="I68" s="26"/>
      <x:c r="J68" s="26"/>
    </x:row>
    <x:row r="69">
      <x:c r="A69" s="26"/>
      <x:c r="B69" s="26"/>
      <x:c r="C69" s="32"/>
      <x:c r="D69" s="26"/>
      <x:c r="E69" s="26"/>
      <x:c r="F69" s="26"/>
      <x:c r="G69" s="26"/>
      <x:c r="H69" s="26"/>
      <x:c r="I69" s="26"/>
      <x:c r="J69" s="26"/>
    </x:row>
    <x:row r="70">
      <x:c r="A70" s="26"/>
      <x:c r="B70" s="26"/>
      <x:c r="C70" s="32"/>
      <x:c r="D70" s="26"/>
      <x:c r="E70" s="26"/>
      <x:c r="F70" s="26"/>
      <x:c r="G70" s="26"/>
      <x:c r="H70" s="26"/>
      <x:c r="I70" s="26"/>
      <x:c r="J70" s="26"/>
    </x:row>
    <x:row r="71">
      <x:c r="A71" s="26"/>
      <x:c r="B71" s="26"/>
      <x:c r="C71" s="32"/>
      <x:c r="D71" s="26"/>
      <x:c r="E71" s="26"/>
      <x:c r="F71" s="26"/>
      <x:c r="G71" s="26"/>
      <x:c r="H71" s="26"/>
      <x:c r="I71" s="26"/>
      <x:c r="J71" s="26"/>
    </x:row>
    <x:row r="72">
      <x:c r="A72" s="26"/>
      <x:c r="B72" s="26"/>
      <x:c r="C72" s="32"/>
      <x:c r="D72" s="26"/>
      <x:c r="E72" s="26"/>
      <x:c r="F72" s="26"/>
      <x:c r="G72" s="26"/>
      <x:c r="H72" s="26"/>
      <x:c r="I72" s="26"/>
      <x:c r="J72" s="26"/>
    </x:row>
    <x:row r="73">
      <x:c r="A73" s="26"/>
      <x:c r="B73" s="26"/>
      <x:c r="C73" s="32"/>
      <x:c r="D73" s="26"/>
      <x:c r="E73" s="26"/>
      <x:c r="F73" s="26"/>
      <x:c r="G73" s="26"/>
      <x:c r="H73" s="26"/>
      <x:c r="I73" s="26"/>
      <x:c r="J73" s="26"/>
    </x:row>
    <x:row r="74">
      <x:c r="A74" s="26"/>
      <x:c r="B74" s="26"/>
      <x:c r="C74" s="32"/>
      <x:c r="D74" s="26"/>
      <x:c r="E74" s="26"/>
      <x:c r="F74" s="26"/>
      <x:c r="G74" s="26"/>
      <x:c r="H74" s="26"/>
      <x:c r="I74" s="26"/>
      <x:c r="J74" s="26"/>
    </x:row>
    <x:row r="75">
      <x:c r="A75" s="26"/>
      <x:c r="B75" s="26"/>
      <x:c r="C75" s="32"/>
      <x:c r="D75" s="26"/>
      <x:c r="E75" s="26"/>
      <x:c r="F75" s="26"/>
      <x:c r="G75" s="26"/>
      <x:c r="H75" s="26"/>
      <x:c r="I75" s="26"/>
      <x:c r="J75" s="26"/>
    </x:row>
    <x:row r="76">
      <x:c r="A76" s="26"/>
      <x:c r="B76" s="26"/>
      <x:c r="C76" s="32"/>
      <x:c r="D76" s="26"/>
      <x:c r="E76" s="26"/>
      <x:c r="F76" s="26"/>
      <x:c r="G76" s="26"/>
      <x:c r="H76" s="26"/>
      <x:c r="I76" s="26"/>
      <x:c r="J76" s="26"/>
    </x:row>
    <x:row r="77">
      <x:c r="A77" s="26"/>
      <x:c r="B77" s="26"/>
      <x:c r="C77" s="32"/>
      <x:c r="D77" s="26"/>
      <x:c r="E77" s="26"/>
      <x:c r="F77" s="26"/>
      <x:c r="G77" s="26"/>
      <x:c r="H77" s="26"/>
      <x:c r="I77" s="26"/>
      <x:c r="J77" s="26"/>
    </x:row>
    <x:row r="78">
      <x:c r="A78" s="26"/>
      <x:c r="B78" s="26"/>
      <x:c r="C78" s="32"/>
      <x:c r="D78" s="26"/>
      <x:c r="E78" s="26"/>
      <x:c r="F78" s="26"/>
      <x:c r="G78" s="26"/>
      <x:c r="H78" s="26"/>
      <x:c r="I78" s="26"/>
      <x:c r="J78" s="26"/>
    </x:row>
    <x:row r="79">
      <x:c r="A79" s="26"/>
      <x:c r="B79" s="26"/>
      <x:c r="C79" s="32"/>
      <x:c r="D79" s="26"/>
      <x:c r="E79" s="26"/>
      <x:c r="F79" s="26"/>
      <x:c r="G79" s="26"/>
      <x:c r="H79" s="26"/>
      <x:c r="I79" s="26"/>
      <x:c r="J79" s="26"/>
    </x:row>
    <x:row r="80">
      <x:c r="A80" s="26"/>
      <x:c r="B80" s="26"/>
      <x:c r="C80" s="32"/>
      <x:c r="D80" s="26"/>
      <x:c r="E80" s="26"/>
      <x:c r="F80" s="26"/>
      <x:c r="G80" s="26"/>
      <x:c r="H80" s="26"/>
      <x:c r="I80" s="26"/>
      <x:c r="J80" s="26"/>
    </x:row>
    <x:row r="81">
      <x:c r="A81" s="26"/>
      <x:c r="B81" s="26"/>
      <x:c r="C81" s="32"/>
      <x:c r="D81" s="26"/>
      <x:c r="E81" s="26"/>
      <x:c r="F81" s="26"/>
      <x:c r="G81" s="26"/>
      <x:c r="H81" s="26"/>
      <x:c r="I81" s="26"/>
      <x:c r="J81" s="26"/>
    </x:row>
    <x:row r="82">
      <x:c r="A82" s="26"/>
      <x:c r="B82" s="26"/>
      <x:c r="C82" s="32"/>
      <x:c r="D82" s="26"/>
      <x:c r="E82" s="26"/>
      <x:c r="F82" s="26"/>
      <x:c r="G82" s="26"/>
      <x:c r="H82" s="26"/>
      <x:c r="I82" s="26"/>
      <x:c r="J82" s="26"/>
    </x:row>
    <x:row r="83">
      <x:c r="A83" s="26"/>
      <x:c r="B83" s="26"/>
      <x:c r="C83" s="32"/>
      <x:c r="D83" s="26"/>
      <x:c r="E83" s="26"/>
      <x:c r="F83" s="26"/>
      <x:c r="G83" s="26"/>
      <x:c r="H83" s="26"/>
      <x:c r="I83" s="26"/>
      <x:c r="J83" s="26"/>
    </x:row>
    <x:row r="84">
      <x:c r="A84" s="26"/>
      <x:c r="B84" s="26"/>
      <x:c r="C84" s="32"/>
      <x:c r="D84" s="26"/>
      <x:c r="E84" s="26"/>
      <x:c r="F84" s="26"/>
      <x:c r="G84" s="26"/>
      <x:c r="H84" s="26"/>
      <x:c r="I84" s="26"/>
      <x:c r="J84" s="26"/>
    </x:row>
    <x:row r="85">
      <x:c r="A85" s="26"/>
      <x:c r="B85" s="26"/>
      <x:c r="C85" s="32"/>
      <x:c r="D85" s="26"/>
      <x:c r="E85" s="26"/>
      <x:c r="F85" s="26"/>
      <x:c r="G85" s="26"/>
      <x:c r="H85" s="26"/>
      <x:c r="I85" s="26"/>
      <x:c r="J85" s="26"/>
    </x:row>
    <x:row r="86">
      <x:c r="A86" s="26"/>
      <x:c r="B86" s="26"/>
      <x:c r="C86" s="32"/>
      <x:c r="D86" s="26"/>
      <x:c r="E86" s="26"/>
      <x:c r="F86" s="26"/>
      <x:c r="G86" s="26"/>
      <x:c r="H86" s="26"/>
      <x:c r="I86" s="26"/>
      <x:c r="J86" s="26"/>
    </x:row>
    <x:row r="87">
      <x:c r="A87" s="26"/>
      <x:c r="B87" s="26"/>
      <x:c r="C87" s="32"/>
      <x:c r="D87" s="26"/>
      <x:c r="E87" s="26"/>
      <x:c r="F87" s="26"/>
      <x:c r="G87" s="26"/>
      <x:c r="H87" s="26"/>
      <x:c r="I87" s="26"/>
      <x:c r="J87" s="26"/>
    </x:row>
    <x:row r="88">
      <x:c r="A88" s="26"/>
      <x:c r="B88" s="26"/>
      <x:c r="C88" s="32"/>
      <x:c r="D88" s="26"/>
      <x:c r="E88" s="26"/>
      <x:c r="F88" s="26"/>
      <x:c r="G88" s="26"/>
      <x:c r="H88" s="26"/>
      <x:c r="I88" s="26"/>
      <x:c r="J88" s="26"/>
    </x:row>
    <x:row r="89">
      <x:c r="A89" s="26"/>
      <x:c r="B89" s="26"/>
      <x:c r="C89" s="32"/>
      <x:c r="D89" s="26"/>
      <x:c r="E89" s="26"/>
      <x:c r="F89" s="26"/>
      <x:c r="G89" s="26"/>
      <x:c r="H89" s="26"/>
      <x:c r="I89" s="26"/>
      <x:c r="J89" s="26"/>
    </x:row>
    <x:row r="90">
      <x:c r="A90" s="26"/>
      <x:c r="B90" s="26"/>
      <x:c r="C90" s="32"/>
      <x:c r="D90" s="26"/>
      <x:c r="E90" s="26"/>
      <x:c r="F90" s="26"/>
      <x:c r="G90" s="26"/>
      <x:c r="H90" s="26"/>
      <x:c r="I90" s="26"/>
      <x:c r="J90" s="26"/>
    </x:row>
    <x:row r="91">
      <x:c r="A91" s="26"/>
      <x:c r="B91" s="26"/>
      <x:c r="C91" s="32"/>
      <x:c r="D91" s="26"/>
      <x:c r="E91" s="26"/>
      <x:c r="F91" s="26"/>
      <x:c r="G91" s="26"/>
      <x:c r="H91" s="26"/>
      <x:c r="I91" s="26"/>
      <x:c r="J91" s="26"/>
    </x:row>
    <x:row r="92">
      <x:c r="A92" s="26"/>
      <x:c r="B92" s="26"/>
      <x:c r="C92" s="32"/>
      <x:c r="D92" s="26"/>
      <x:c r="E92" s="26"/>
      <x:c r="F92" s="26"/>
      <x:c r="G92" s="26"/>
      <x:c r="H92" s="26"/>
      <x:c r="I92" s="26"/>
      <x:c r="J92" s="26"/>
    </x:row>
    <x:row r="93">
      <x:c r="A93" s="26"/>
      <x:c r="B93" s="26"/>
      <x:c r="C93" s="32"/>
      <x:c r="D93" s="26"/>
      <x:c r="E93" s="26"/>
      <x:c r="F93" s="26"/>
      <x:c r="G93" s="26"/>
      <x:c r="H93" s="26"/>
      <x:c r="I93" s="26"/>
      <x:c r="J93" s="26"/>
    </x:row>
    <x:row r="94">
      <x:c r="A94" s="26"/>
      <x:c r="B94" s="26"/>
      <x:c r="C94" s="32"/>
      <x:c r="D94" s="26"/>
      <x:c r="E94" s="26"/>
      <x:c r="F94" s="26"/>
      <x:c r="G94" s="26"/>
      <x:c r="H94" s="26"/>
      <x:c r="I94" s="26"/>
      <x:c r="J94" s="26"/>
    </x:row>
    <x:row r="95">
      <x:c r="A95" s="26"/>
      <x:c r="B95" s="26"/>
      <x:c r="C95" s="32"/>
      <x:c r="D95" s="26"/>
      <x:c r="E95" s="26"/>
      <x:c r="F95" s="26"/>
      <x:c r="G95" s="26"/>
      <x:c r="H95" s="26"/>
      <x:c r="I95" s="26"/>
      <x:c r="J95" s="26"/>
    </x:row>
    <x:row r="96">
      <x:c r="A96" s="26"/>
      <x:c r="B96" s="26"/>
      <x:c r="C96" s="32"/>
      <x:c r="D96" s="26"/>
      <x:c r="E96" s="26"/>
      <x:c r="F96" s="26"/>
      <x:c r="G96" s="26"/>
      <x:c r="H96" s="26"/>
      <x:c r="I96" s="26"/>
      <x:c r="J96" s="26"/>
    </x:row>
    <x:row r="97">
      <x:c r="A97" s="26"/>
      <x:c r="B97" s="26"/>
      <x:c r="C97" s="32"/>
      <x:c r="D97" s="26"/>
      <x:c r="E97" s="26"/>
      <x:c r="F97" s="26"/>
      <x:c r="G97" s="26"/>
      <x:c r="H97" s="26"/>
      <x:c r="I97" s="26"/>
      <x:c r="J97" s="26"/>
    </x:row>
    <x:row r="98">
      <x:c r="A98" s="26"/>
      <x:c r="B98" s="26"/>
      <x:c r="C98" s="32"/>
      <x:c r="D98" s="26"/>
      <x:c r="E98" s="26"/>
      <x:c r="F98" s="26"/>
      <x:c r="G98" s="26"/>
      <x:c r="H98" s="26"/>
      <x:c r="I98" s="26"/>
      <x:c r="J98" s="26"/>
    </x:row>
    <x:row r="99">
      <x:c r="A99" s="26"/>
      <x:c r="B99" s="26"/>
      <x:c r="C99" s="32"/>
      <x:c r="D99" s="26"/>
      <x:c r="E99" s="26"/>
      <x:c r="F99" s="26"/>
      <x:c r="G99" s="26"/>
      <x:c r="H99" s="26"/>
      <x:c r="I99" s="26"/>
      <x:c r="J99" s="26"/>
    </x:row>
    <x:row r="100">
      <x:c r="A100" s="26"/>
      <x:c r="B100" s="26"/>
      <x:c r="C100" s="32"/>
      <x:c r="D100" s="26"/>
      <x:c r="E100" s="26"/>
      <x:c r="F100" s="26"/>
      <x:c r="G100" s="26"/>
      <x:c r="H100" s="26"/>
      <x:c r="I100" s="26"/>
      <x:c r="J100" s="26"/>
    </x:row>
    <x:row r="101">
      <x:c r="A101" s="26"/>
      <x:c r="B101" s="26"/>
      <x:c r="C101" s="32"/>
      <x:c r="D101" s="26"/>
      <x:c r="E101" s="26"/>
      <x:c r="F101" s="26"/>
      <x:c r="G101" s="26"/>
      <x:c r="H101" s="26"/>
      <x:c r="I101" s="26"/>
      <x:c r="J101" s="26"/>
    </x:row>
    <x:row r="102">
      <x:c r="A102" s="26"/>
      <x:c r="B102" s="26"/>
      <x:c r="C102" s="32"/>
      <x:c r="D102" s="26"/>
      <x:c r="E102" s="26"/>
      <x:c r="F102" s="26"/>
      <x:c r="G102" s="26"/>
      <x:c r="H102" s="26"/>
      <x:c r="I102" s="26"/>
      <x:c r="J102" s="26"/>
    </x:row>
    <x:row r="103">
      <x:c r="A103" s="26"/>
      <x:c r="B103" s="26"/>
      <x:c r="C103" s="32"/>
      <x:c r="D103" s="26"/>
      <x:c r="E103" s="26"/>
      <x:c r="F103" s="26"/>
      <x:c r="G103" s="26"/>
      <x:c r="H103" s="26"/>
      <x:c r="I103" s="26"/>
      <x:c r="J103" s="26"/>
    </x:row>
    <x:row r="104">
      <x:c r="A104" s="26"/>
      <x:c r="B104" s="26"/>
      <x:c r="C104" s="32"/>
      <x:c r="D104" s="26"/>
      <x:c r="E104" s="26"/>
      <x:c r="F104" s="26"/>
      <x:c r="G104" s="26"/>
      <x:c r="H104" s="26"/>
      <x:c r="I104" s="26"/>
      <x:c r="J104" s="26"/>
    </x:row>
  </x:sheetData>
  <x:mergeCells>
    <x:mergeCell ref="A1:H1"/>
    <x:mergeCell ref="A2:H2"/>
  </x:mergeCells>
  <x:dataValidations count="3">
    <x:dataValidation type="list" sqref="F5:F104">
      <x:formula1>"High,Medium,Low"</x:formula1>
    </x:dataValidation>
    <x:dataValidation type="list" sqref="G5:G104">
      <x:formula1>"Low,Medium,High"</x:formula1>
    </x:dataValidation>
    <x:dataValidation type="list" sqref="H5:H104">
      <x:formula1>"Open,Accepted,Rejected,Needs Research,Deferred"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4f325db12646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6" hidden="0" customWidth="1"/>
  </x:cols>
  <x:sheetData>
    <x:row r="1" ht="30" customHeight="1">
      <x:c r="A1" s="37" t="str">
        <x:v>Weekly Sync</x:v>
      </x:c>
      <x:c r="B1" s="23"/>
      <x:c r="C1" s="23"/>
      <x:c r="D1" s="23"/>
      <x:c r="E1" s="23"/>
      <x:c r="F1" s="23"/>
      <x:c r="G1" s="23"/>
      <x:c r="H1" s="23"/>
    </x:row>
    <x:row r="2">
      <x:c r="A2" s="24" t="str">
        <x:v>Haftalık toplantı notları. Her toplantı için tek satır; kısa, karar odaklı yazın.</x:v>
      </x:c>
      <x:c r="B2" s="23"/>
      <x:c r="C2" s="23"/>
      <x:c r="D2" s="23"/>
      <x:c r="E2" s="23"/>
      <x:c r="F2" s="23"/>
      <x:c r="G2" s="23"/>
      <x:c r="H2" s="23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5" t="str">
        <x:v>Date</x:v>
      </x:c>
      <x:c r="B4" s="25" t="str">
        <x:v>Attendees</x:v>
      </x:c>
      <x:c r="C4" s="25" t="str">
        <x:v>This Week Goals</x:v>
      </x:c>
      <x:c r="D4" s="25" t="str">
        <x:v>Done Since Last Sync</x:v>
      </x:c>
      <x:c r="E4" s="25" t="str">
        <x:v>Blockers</x:v>
      </x:c>
      <x:c r="F4" s="25" t="str">
        <x:v>Decisions</x:v>
      </x:c>
      <x:c r="G4" s="25" t="str">
        <x:v>Next Owner Actions</x:v>
      </x:c>
      <x:c r="H4" s="25" t="str">
        <x:v>Health</x:v>
      </x:c>
    </x:row>
    <x:row r="5">
      <x:c r="A5" s="32" t="n">
        <x:v>46206</x:v>
      </x:c>
      <x:c r="B5" s="26" t="str">
        <x:v>Yagiz, Team Member 2, Team Member 3</x:v>
      </x:c>
      <x:c r="C5" s="26" t="str">
        <x:v>Finish measurement tools; prepare live Gemini eval path.</x:v>
      </x:c>
      <x:c r="D5" s="26" t="str">
        <x:v>calculate_area and calculate_length offline-ready.</x:v>
      </x:c>
      <x:c r="E5" s="26" t="str">
        <x:v>Live eval requires API key and approval.</x:v>
      </x:c>
      <x:c r="F5" s="26" t="str">
        <x:v>Use lightweight workbook instead of Jira for now.</x:v>
      </x:c>
      <x:c r="G5" s="26" t="str">
        <x:v>Yagiz: add Gemini key and run S33/S34 evals.</x:v>
      </x:c>
      <x:c r="H5" s="26" t="str">
        <x:v>Green</x:v>
      </x:c>
    </x:row>
    <x:row r="6">
      <x:c r="A6" s="32"/>
      <x:c r="B6" s="26"/>
      <x:c r="C6" s="26"/>
      <x:c r="D6" s="26"/>
      <x:c r="E6" s="26"/>
      <x:c r="F6" s="26"/>
      <x:c r="G6" s="26"/>
      <x:c r="H6" s="26"/>
    </x:row>
    <x:row r="7">
      <x:c r="A7" s="32"/>
      <x:c r="B7" s="26"/>
      <x:c r="C7" s="26"/>
      <x:c r="D7" s="26"/>
      <x:c r="E7" s="26"/>
      <x:c r="F7" s="26"/>
      <x:c r="G7" s="26"/>
      <x:c r="H7" s="26"/>
    </x:row>
    <x:row r="8">
      <x:c r="A8" s="32"/>
      <x:c r="B8" s="26"/>
      <x:c r="C8" s="26"/>
      <x:c r="D8" s="26"/>
      <x:c r="E8" s="26"/>
      <x:c r="F8" s="26"/>
      <x:c r="G8" s="26"/>
      <x:c r="H8" s="26"/>
    </x:row>
    <x:row r="9">
      <x:c r="A9" s="32"/>
      <x:c r="B9" s="26"/>
      <x:c r="C9" s="26"/>
      <x:c r="D9" s="26"/>
      <x:c r="E9" s="26"/>
      <x:c r="F9" s="26"/>
      <x:c r="G9" s="26"/>
      <x:c r="H9" s="26"/>
    </x:row>
    <x:row r="10">
      <x:c r="A10" s="32"/>
      <x:c r="B10" s="26"/>
      <x:c r="C10" s="26"/>
      <x:c r="D10" s="26"/>
      <x:c r="E10" s="26"/>
      <x:c r="F10" s="26"/>
      <x:c r="G10" s="26"/>
      <x:c r="H10" s="26"/>
    </x:row>
    <x:row r="11">
      <x:c r="A11" s="32"/>
      <x:c r="B11" s="26"/>
      <x:c r="C11" s="26"/>
      <x:c r="D11" s="26"/>
      <x:c r="E11" s="26"/>
      <x:c r="F11" s="26"/>
      <x:c r="G11" s="26"/>
      <x:c r="H11" s="26"/>
    </x:row>
    <x:row r="12">
      <x:c r="A12" s="32"/>
      <x:c r="B12" s="26"/>
      <x:c r="C12" s="26"/>
      <x:c r="D12" s="26"/>
      <x:c r="E12" s="26"/>
      <x:c r="F12" s="26"/>
      <x:c r="G12" s="26"/>
      <x:c r="H12" s="26"/>
    </x:row>
    <x:row r="13">
      <x:c r="A13" s="32"/>
      <x:c r="B13" s="26"/>
      <x:c r="C13" s="26"/>
      <x:c r="D13" s="26"/>
      <x:c r="E13" s="26"/>
      <x:c r="F13" s="26"/>
      <x:c r="G13" s="26"/>
      <x:c r="H13" s="26"/>
    </x:row>
    <x:row r="14">
      <x:c r="A14" s="32"/>
      <x:c r="B14" s="26"/>
      <x:c r="C14" s="26"/>
      <x:c r="D14" s="26"/>
      <x:c r="E14" s="26"/>
      <x:c r="F14" s="26"/>
      <x:c r="G14" s="26"/>
      <x:c r="H14" s="26"/>
    </x:row>
    <x:row r="15">
      <x:c r="A15" s="32"/>
      <x:c r="B15" s="26"/>
      <x:c r="C15" s="26"/>
      <x:c r="D15" s="26"/>
      <x:c r="E15" s="26"/>
      <x:c r="F15" s="26"/>
      <x:c r="G15" s="26"/>
      <x:c r="H15" s="26"/>
    </x:row>
    <x:row r="16">
      <x:c r="A16" s="32"/>
      <x:c r="B16" s="26"/>
      <x:c r="C16" s="26"/>
      <x:c r="D16" s="26"/>
      <x:c r="E16" s="26"/>
      <x:c r="F16" s="26"/>
      <x:c r="G16" s="26"/>
      <x:c r="H16" s="26"/>
    </x:row>
    <x:row r="17">
      <x:c r="A17" s="32"/>
      <x:c r="B17" s="26"/>
      <x:c r="C17" s="26"/>
      <x:c r="D17" s="26"/>
      <x:c r="E17" s="26"/>
      <x:c r="F17" s="26"/>
      <x:c r="G17" s="26"/>
      <x:c r="H17" s="26"/>
    </x:row>
    <x:row r="18">
      <x:c r="A18" s="32"/>
      <x:c r="B18" s="26"/>
      <x:c r="C18" s="26"/>
      <x:c r="D18" s="26"/>
      <x:c r="E18" s="26"/>
      <x:c r="F18" s="26"/>
      <x:c r="G18" s="26"/>
      <x:c r="H18" s="26"/>
    </x:row>
    <x:row r="19">
      <x:c r="A19" s="32"/>
      <x:c r="B19" s="26"/>
      <x:c r="C19" s="26"/>
      <x:c r="D19" s="26"/>
      <x:c r="E19" s="26"/>
      <x:c r="F19" s="26"/>
      <x:c r="G19" s="26"/>
      <x:c r="H19" s="26"/>
    </x:row>
    <x:row r="20">
      <x:c r="A20" s="32"/>
      <x:c r="B20" s="26"/>
      <x:c r="C20" s="26"/>
      <x:c r="D20" s="26"/>
      <x:c r="E20" s="26"/>
      <x:c r="F20" s="26"/>
      <x:c r="G20" s="26"/>
      <x:c r="H20" s="26"/>
    </x:row>
    <x:row r="21">
      <x:c r="A21" s="32"/>
      <x:c r="B21" s="26"/>
      <x:c r="C21" s="26"/>
      <x:c r="D21" s="26"/>
      <x:c r="E21" s="26"/>
      <x:c r="F21" s="26"/>
      <x:c r="G21" s="26"/>
      <x:c r="H21" s="26"/>
    </x:row>
    <x:row r="22">
      <x:c r="A22" s="32"/>
      <x:c r="B22" s="26"/>
      <x:c r="C22" s="26"/>
      <x:c r="D22" s="26"/>
      <x:c r="E22" s="26"/>
      <x:c r="F22" s="26"/>
      <x:c r="G22" s="26"/>
      <x:c r="H22" s="26"/>
    </x:row>
    <x:row r="23">
      <x:c r="A23" s="32"/>
      <x:c r="B23" s="26"/>
      <x:c r="C23" s="26"/>
      <x:c r="D23" s="26"/>
      <x:c r="E23" s="26"/>
      <x:c r="F23" s="26"/>
      <x:c r="G23" s="26"/>
      <x:c r="H23" s="26"/>
    </x:row>
    <x:row r="24">
      <x:c r="A24" s="32"/>
      <x:c r="B24" s="26"/>
      <x:c r="C24" s="26"/>
      <x:c r="D24" s="26"/>
      <x:c r="E24" s="26"/>
      <x:c r="F24" s="26"/>
      <x:c r="G24" s="26"/>
      <x:c r="H24" s="26"/>
    </x:row>
    <x:row r="25">
      <x:c r="A25" s="32"/>
      <x:c r="B25" s="26"/>
      <x:c r="C25" s="26"/>
      <x:c r="D25" s="26"/>
      <x:c r="E25" s="26"/>
      <x:c r="F25" s="26"/>
      <x:c r="G25" s="26"/>
      <x:c r="H25" s="26"/>
    </x:row>
    <x:row r="26">
      <x:c r="A26" s="32"/>
      <x:c r="B26" s="26"/>
      <x:c r="C26" s="26"/>
      <x:c r="D26" s="26"/>
      <x:c r="E26" s="26"/>
      <x:c r="F26" s="26"/>
      <x:c r="G26" s="26"/>
      <x:c r="H26" s="26"/>
    </x:row>
    <x:row r="27">
      <x:c r="A27" s="32"/>
      <x:c r="B27" s="26"/>
      <x:c r="C27" s="26"/>
      <x:c r="D27" s="26"/>
      <x:c r="E27" s="26"/>
      <x:c r="F27" s="26"/>
      <x:c r="G27" s="26"/>
      <x:c r="H27" s="26"/>
    </x:row>
    <x:row r="28">
      <x:c r="A28" s="32"/>
      <x:c r="B28" s="26"/>
      <x:c r="C28" s="26"/>
      <x:c r="D28" s="26"/>
      <x:c r="E28" s="26"/>
      <x:c r="F28" s="26"/>
      <x:c r="G28" s="26"/>
      <x:c r="H28" s="26"/>
    </x:row>
    <x:row r="29">
      <x:c r="A29" s="32"/>
      <x:c r="B29" s="26"/>
      <x:c r="C29" s="26"/>
      <x:c r="D29" s="26"/>
      <x:c r="E29" s="26"/>
      <x:c r="F29" s="26"/>
      <x:c r="G29" s="26"/>
      <x:c r="H29" s="26"/>
    </x:row>
    <x:row r="30">
      <x:c r="A30" s="32"/>
      <x:c r="B30" s="26"/>
      <x:c r="C30" s="26"/>
      <x:c r="D30" s="26"/>
      <x:c r="E30" s="26"/>
      <x:c r="F30" s="26"/>
      <x:c r="G30" s="26"/>
      <x:c r="H30" s="26"/>
    </x:row>
    <x:row r="31">
      <x:c r="A31" s="32"/>
      <x:c r="B31" s="26"/>
      <x:c r="C31" s="26"/>
      <x:c r="D31" s="26"/>
      <x:c r="E31" s="26"/>
      <x:c r="F31" s="26"/>
      <x:c r="G31" s="26"/>
      <x:c r="H31" s="26"/>
    </x:row>
    <x:row r="32">
      <x:c r="A32" s="32"/>
      <x:c r="B32" s="26"/>
      <x:c r="C32" s="26"/>
      <x:c r="D32" s="26"/>
      <x:c r="E32" s="26"/>
      <x:c r="F32" s="26"/>
      <x:c r="G32" s="26"/>
      <x:c r="H32" s="26"/>
    </x:row>
    <x:row r="33">
      <x:c r="A33" s="32"/>
      <x:c r="B33" s="26"/>
      <x:c r="C33" s="26"/>
      <x:c r="D33" s="26"/>
      <x:c r="E33" s="26"/>
      <x:c r="F33" s="26"/>
      <x:c r="G33" s="26"/>
      <x:c r="H33" s="26"/>
    </x:row>
    <x:row r="34">
      <x:c r="A34" s="32"/>
      <x:c r="B34" s="26"/>
      <x:c r="C34" s="26"/>
      <x:c r="D34" s="26"/>
      <x:c r="E34" s="26"/>
      <x:c r="F34" s="26"/>
      <x:c r="G34" s="26"/>
      <x:c r="H34" s="26"/>
    </x:row>
    <x:row r="35">
      <x:c r="A35" s="32"/>
      <x:c r="B35" s="26"/>
      <x:c r="C35" s="26"/>
      <x:c r="D35" s="26"/>
      <x:c r="E35" s="26"/>
      <x:c r="F35" s="26"/>
      <x:c r="G35" s="26"/>
      <x:c r="H35" s="26"/>
    </x:row>
    <x:row r="36">
      <x:c r="A36" s="32"/>
      <x:c r="B36" s="26"/>
      <x:c r="C36" s="26"/>
      <x:c r="D36" s="26"/>
      <x:c r="E36" s="26"/>
      <x:c r="F36" s="26"/>
      <x:c r="G36" s="26"/>
      <x:c r="H36" s="26"/>
    </x:row>
    <x:row r="37">
      <x:c r="A37" s="32"/>
      <x:c r="B37" s="26"/>
      <x:c r="C37" s="26"/>
      <x:c r="D37" s="26"/>
      <x:c r="E37" s="26"/>
      <x:c r="F37" s="26"/>
      <x:c r="G37" s="26"/>
      <x:c r="H37" s="26"/>
    </x:row>
    <x:row r="38">
      <x:c r="A38" s="32"/>
      <x:c r="B38" s="26"/>
      <x:c r="C38" s="26"/>
      <x:c r="D38" s="26"/>
      <x:c r="E38" s="26"/>
      <x:c r="F38" s="26"/>
      <x:c r="G38" s="26"/>
      <x:c r="H38" s="26"/>
    </x:row>
    <x:row r="39">
      <x:c r="A39" s="32"/>
      <x:c r="B39" s="26"/>
      <x:c r="C39" s="26"/>
      <x:c r="D39" s="26"/>
      <x:c r="E39" s="26"/>
      <x:c r="F39" s="26"/>
      <x:c r="G39" s="26"/>
      <x:c r="H39" s="26"/>
    </x:row>
    <x:row r="40">
      <x:c r="A40" s="32"/>
      <x:c r="B40" s="26"/>
      <x:c r="C40" s="26"/>
      <x:c r="D40" s="26"/>
      <x:c r="E40" s="26"/>
      <x:c r="F40" s="26"/>
      <x:c r="G40" s="26"/>
      <x:c r="H40" s="26"/>
    </x:row>
    <x:row r="41">
      <x:c r="A41" s="32"/>
      <x:c r="B41" s="26"/>
      <x:c r="C41" s="26"/>
      <x:c r="D41" s="26"/>
      <x:c r="E41" s="26"/>
      <x:c r="F41" s="26"/>
      <x:c r="G41" s="26"/>
      <x:c r="H41" s="26"/>
    </x:row>
    <x:row r="42">
      <x:c r="A42" s="32"/>
      <x:c r="B42" s="26"/>
      <x:c r="C42" s="26"/>
      <x:c r="D42" s="26"/>
      <x:c r="E42" s="26"/>
      <x:c r="F42" s="26"/>
      <x:c r="G42" s="26"/>
      <x:c r="H42" s="26"/>
    </x:row>
    <x:row r="43">
      <x:c r="A43" s="32"/>
      <x:c r="B43" s="26"/>
      <x:c r="C43" s="26"/>
      <x:c r="D43" s="26"/>
      <x:c r="E43" s="26"/>
      <x:c r="F43" s="26"/>
      <x:c r="G43" s="26"/>
      <x:c r="H43" s="26"/>
    </x:row>
    <x:row r="44">
      <x:c r="A44" s="32"/>
      <x:c r="B44" s="26"/>
      <x:c r="C44" s="26"/>
      <x:c r="D44" s="26"/>
      <x:c r="E44" s="26"/>
      <x:c r="F44" s="26"/>
      <x:c r="G44" s="26"/>
      <x:c r="H44" s="26"/>
    </x:row>
    <x:row r="45">
      <x:c r="A45" s="32"/>
      <x:c r="B45" s="26"/>
      <x:c r="C45" s="26"/>
      <x:c r="D45" s="26"/>
      <x:c r="E45" s="26"/>
      <x:c r="F45" s="26"/>
      <x:c r="G45" s="26"/>
      <x:c r="H45" s="26"/>
    </x:row>
    <x:row r="46">
      <x:c r="A46" s="32"/>
      <x:c r="B46" s="26"/>
      <x:c r="C46" s="26"/>
      <x:c r="D46" s="26"/>
      <x:c r="E46" s="26"/>
      <x:c r="F46" s="26"/>
      <x:c r="G46" s="26"/>
      <x:c r="H46" s="26"/>
    </x:row>
    <x:row r="47">
      <x:c r="A47" s="32"/>
      <x:c r="B47" s="26"/>
      <x:c r="C47" s="26"/>
      <x:c r="D47" s="26"/>
      <x:c r="E47" s="26"/>
      <x:c r="F47" s="26"/>
      <x:c r="G47" s="26"/>
      <x:c r="H47" s="26"/>
    </x:row>
    <x:row r="48">
      <x:c r="A48" s="32"/>
      <x:c r="B48" s="26"/>
      <x:c r="C48" s="26"/>
      <x:c r="D48" s="26"/>
      <x:c r="E48" s="26"/>
      <x:c r="F48" s="26"/>
      <x:c r="G48" s="26"/>
      <x:c r="H48" s="26"/>
    </x:row>
    <x:row r="49">
      <x:c r="A49" s="32"/>
      <x:c r="B49" s="26"/>
      <x:c r="C49" s="26"/>
      <x:c r="D49" s="26"/>
      <x:c r="E49" s="26"/>
      <x:c r="F49" s="26"/>
      <x:c r="G49" s="26"/>
      <x:c r="H49" s="26"/>
    </x:row>
    <x:row r="50">
      <x:c r="A50" s="32"/>
      <x:c r="B50" s="26"/>
      <x:c r="C50" s="26"/>
      <x:c r="D50" s="26"/>
      <x:c r="E50" s="26"/>
      <x:c r="F50" s="26"/>
      <x:c r="G50" s="26"/>
      <x:c r="H50" s="26"/>
    </x:row>
    <x:row r="51">
      <x:c r="A51" s="32"/>
      <x:c r="B51" s="26"/>
      <x:c r="C51" s="26"/>
      <x:c r="D51" s="26"/>
      <x:c r="E51" s="26"/>
      <x:c r="F51" s="26"/>
      <x:c r="G51" s="26"/>
      <x:c r="H51" s="26"/>
    </x:row>
    <x:row r="52">
      <x:c r="A52" s="32"/>
      <x:c r="B52" s="26"/>
      <x:c r="C52" s="26"/>
      <x:c r="D52" s="26"/>
      <x:c r="E52" s="26"/>
      <x:c r="F52" s="26"/>
      <x:c r="G52" s="26"/>
      <x:c r="H52" s="26"/>
    </x:row>
    <x:row r="53">
      <x:c r="A53" s="32"/>
      <x:c r="B53" s="26"/>
      <x:c r="C53" s="26"/>
      <x:c r="D53" s="26"/>
      <x:c r="E53" s="26"/>
      <x:c r="F53" s="26"/>
      <x:c r="G53" s="26"/>
      <x:c r="H53" s="26"/>
    </x:row>
    <x:row r="54">
      <x:c r="A54" s="32"/>
      <x:c r="B54" s="26"/>
      <x:c r="C54" s="26"/>
      <x:c r="D54" s="26"/>
      <x:c r="E54" s="26"/>
      <x:c r="F54" s="26"/>
      <x:c r="G54" s="26"/>
      <x:c r="H54" s="26"/>
    </x:row>
    <x:row r="55">
      <x:c r="A55" s="32"/>
      <x:c r="B55" s="26"/>
      <x:c r="C55" s="26"/>
      <x:c r="D55" s="26"/>
      <x:c r="E55" s="26"/>
      <x:c r="F55" s="26"/>
      <x:c r="G55" s="26"/>
      <x:c r="H55" s="26"/>
    </x:row>
    <x:row r="56">
      <x:c r="A56" s="32"/>
      <x:c r="B56" s="26"/>
      <x:c r="C56" s="26"/>
      <x:c r="D56" s="26"/>
      <x:c r="E56" s="26"/>
      <x:c r="F56" s="26"/>
      <x:c r="G56" s="26"/>
      <x:c r="H56" s="26"/>
    </x:row>
  </x:sheetData>
  <x:mergeCells>
    <x:mergeCell ref="A1:H1"/>
    <x:mergeCell ref="A2:H2"/>
  </x:mergeCells>
  <x:dataValidations count="1">
    <x:dataValidation type="list" sqref="H5:H56">
      <x:formula1>"Green,Yellow,Red"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588743c72349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38" hidden="0" customWidth="1"/>
    <x:col min="5" max="5" width="42" hidden="0" customWidth="1"/>
    <x:col min="6" max="6" width="42" hidden="0" customWidth="1"/>
    <x:col min="7" max="7" width="16" hidden="0" customWidth="1"/>
    <x:col min="8" max="8" width="14" hidden="0" customWidth="1"/>
    <x:col min="9" max="9" width="14" hidden="0" customWidth="1"/>
  </x:cols>
  <x:sheetData>
    <x:row r="1" ht="30" customHeight="1">
      <x:c r="A1" s="37" t="str">
        <x:v>Decision Log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24" t="str">
        <x:v>Büyük kararları burada saklayın. Karar Slack/WhatsApp'ta kalırsa proje hafızası kaybolur.</x:v>
      </x:c>
      <x:c r="B2" s="23"/>
      <x:c r="C2" s="23"/>
      <x:c r="D2" s="23"/>
      <x:c r="E2" s="23"/>
      <x:c r="F2" s="23"/>
      <x:c r="G2" s="23"/>
      <x:c r="H2" s="23"/>
      <x:c r="I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25" t="str">
        <x:v>Decision ID</x:v>
      </x:c>
      <x:c r="B4" s="25" t="str">
        <x:v>Date</x:v>
      </x:c>
      <x:c r="C4" s="25" t="str">
        <x:v>Owner</x:v>
      </x:c>
      <x:c r="D4" s="25" t="str">
        <x:v>Context</x:v>
      </x:c>
      <x:c r="E4" s="25" t="str">
        <x:v>Options Considered</x:v>
      </x:c>
      <x:c r="F4" s="25" t="str">
        <x:v>Decision</x:v>
      </x:c>
      <x:c r="G4" s="25" t="str">
        <x:v>Status</x:v>
      </x:c>
      <x:c r="H4" s="25" t="str">
        <x:v>Linked Task</x:v>
      </x:c>
      <x:c r="I4" s="25" t="str">
        <x:v>Revisit Date</x:v>
      </x:c>
    </x:row>
    <x:row r="5">
      <x:c r="A5" s="26" t="str">
        <x:v>D-001</x:v>
      </x:c>
      <x:c r="B5" s="32" t="n">
        <x:v>46206</x:v>
      </x:c>
      <x:c r="C5" s="26" t="str">
        <x:v>Yagiz</x:v>
      </x:c>
      <x:c r="D5" s="26" t="str">
        <x:v>3 kişilik ekip için task takip aracı seçimi.</x:v>
      </x:c>
      <x:c r="E5" s="26" t="str">
        <x:v>Jira, Word, Google Sheets / Excel</x:v>
      </x:c>
      <x:c r="F5" s="26" t="str">
        <x:v>Google Sheets-targeted workbook kullanılacak; Jira şimdilik fazla ağır.</x:v>
      </x:c>
      <x:c r="G5" s="26" t="str">
        <x:v>Closed</x:v>
      </x:c>
      <x:c r="H5" s="26" t="str"/>
      <x:c r="I5" s="32" t="str"/>
    </x:row>
    <x:row r="6">
      <x:c r="A6" s="26"/>
      <x:c r="B6" s="32"/>
      <x:c r="C6" s="26"/>
      <x:c r="D6" s="26"/>
      <x:c r="E6" s="26"/>
      <x:c r="F6" s="26"/>
      <x:c r="G6" s="26"/>
      <x:c r="H6" s="26"/>
      <x:c r="I6" s="32"/>
    </x:row>
    <x:row r="7">
      <x:c r="A7" s="26"/>
      <x:c r="B7" s="32"/>
      <x:c r="C7" s="26"/>
      <x:c r="D7" s="26"/>
      <x:c r="E7" s="26"/>
      <x:c r="F7" s="26"/>
      <x:c r="G7" s="26"/>
      <x:c r="H7" s="26"/>
      <x:c r="I7" s="32"/>
    </x:row>
    <x:row r="8">
      <x:c r="A8" s="26"/>
      <x:c r="B8" s="32"/>
      <x:c r="C8" s="26"/>
      <x:c r="D8" s="26"/>
      <x:c r="E8" s="26"/>
      <x:c r="F8" s="26"/>
      <x:c r="G8" s="26"/>
      <x:c r="H8" s="26"/>
      <x:c r="I8" s="32"/>
    </x:row>
    <x:row r="9">
      <x:c r="A9" s="26"/>
      <x:c r="B9" s="32"/>
      <x:c r="C9" s="26"/>
      <x:c r="D9" s="26"/>
      <x:c r="E9" s="26"/>
      <x:c r="F9" s="26"/>
      <x:c r="G9" s="26"/>
      <x:c r="H9" s="26"/>
      <x:c r="I9" s="32"/>
    </x:row>
    <x:row r="10">
      <x:c r="A10" s="26"/>
      <x:c r="B10" s="32"/>
      <x:c r="C10" s="26"/>
      <x:c r="D10" s="26"/>
      <x:c r="E10" s="26"/>
      <x:c r="F10" s="26"/>
      <x:c r="G10" s="26"/>
      <x:c r="H10" s="26"/>
      <x:c r="I10" s="32"/>
    </x:row>
    <x:row r="11">
      <x:c r="A11" s="26"/>
      <x:c r="B11" s="32"/>
      <x:c r="C11" s="26"/>
      <x:c r="D11" s="26"/>
      <x:c r="E11" s="26"/>
      <x:c r="F11" s="26"/>
      <x:c r="G11" s="26"/>
      <x:c r="H11" s="26"/>
      <x:c r="I11" s="32"/>
    </x:row>
    <x:row r="12">
      <x:c r="A12" s="26"/>
      <x:c r="B12" s="32"/>
      <x:c r="C12" s="26"/>
      <x:c r="D12" s="26"/>
      <x:c r="E12" s="26"/>
      <x:c r="F12" s="26"/>
      <x:c r="G12" s="26"/>
      <x:c r="H12" s="26"/>
      <x:c r="I12" s="32"/>
    </x:row>
    <x:row r="13">
      <x:c r="A13" s="26"/>
      <x:c r="B13" s="32"/>
      <x:c r="C13" s="26"/>
      <x:c r="D13" s="26"/>
      <x:c r="E13" s="26"/>
      <x:c r="F13" s="26"/>
      <x:c r="G13" s="26"/>
      <x:c r="H13" s="26"/>
      <x:c r="I13" s="32"/>
    </x:row>
    <x:row r="14">
      <x:c r="A14" s="26"/>
      <x:c r="B14" s="32"/>
      <x:c r="C14" s="26"/>
      <x:c r="D14" s="26"/>
      <x:c r="E14" s="26"/>
      <x:c r="F14" s="26"/>
      <x:c r="G14" s="26"/>
      <x:c r="H14" s="26"/>
      <x:c r="I14" s="32"/>
    </x:row>
    <x:row r="15">
      <x:c r="A15" s="26"/>
      <x:c r="B15" s="32"/>
      <x:c r="C15" s="26"/>
      <x:c r="D15" s="26"/>
      <x:c r="E15" s="26"/>
      <x:c r="F15" s="26"/>
      <x:c r="G15" s="26"/>
      <x:c r="H15" s="26"/>
      <x:c r="I15" s="32"/>
    </x:row>
    <x:row r="16">
      <x:c r="A16" s="26"/>
      <x:c r="B16" s="32"/>
      <x:c r="C16" s="26"/>
      <x:c r="D16" s="26"/>
      <x:c r="E16" s="26"/>
      <x:c r="F16" s="26"/>
      <x:c r="G16" s="26"/>
      <x:c r="H16" s="26"/>
      <x:c r="I16" s="32"/>
    </x:row>
    <x:row r="17">
      <x:c r="A17" s="26"/>
      <x:c r="B17" s="32"/>
      <x:c r="C17" s="26"/>
      <x:c r="D17" s="26"/>
      <x:c r="E17" s="26"/>
      <x:c r="F17" s="26"/>
      <x:c r="G17" s="26"/>
      <x:c r="H17" s="26"/>
      <x:c r="I17" s="32"/>
    </x:row>
    <x:row r="18">
      <x:c r="A18" s="26"/>
      <x:c r="B18" s="32"/>
      <x:c r="C18" s="26"/>
      <x:c r="D18" s="26"/>
      <x:c r="E18" s="26"/>
      <x:c r="F18" s="26"/>
      <x:c r="G18" s="26"/>
      <x:c r="H18" s="26"/>
      <x:c r="I18" s="32"/>
    </x:row>
    <x:row r="19">
      <x:c r="A19" s="26"/>
      <x:c r="B19" s="32"/>
      <x:c r="C19" s="26"/>
      <x:c r="D19" s="26"/>
      <x:c r="E19" s="26"/>
      <x:c r="F19" s="26"/>
      <x:c r="G19" s="26"/>
      <x:c r="H19" s="26"/>
      <x:c r="I19" s="32"/>
    </x:row>
    <x:row r="20">
      <x:c r="A20" s="26"/>
      <x:c r="B20" s="32"/>
      <x:c r="C20" s="26"/>
      <x:c r="D20" s="26"/>
      <x:c r="E20" s="26"/>
      <x:c r="F20" s="26"/>
      <x:c r="G20" s="26"/>
      <x:c r="H20" s="26"/>
      <x:c r="I20" s="32"/>
    </x:row>
    <x:row r="21">
      <x:c r="A21" s="26"/>
      <x:c r="B21" s="32"/>
      <x:c r="C21" s="26"/>
      <x:c r="D21" s="26"/>
      <x:c r="E21" s="26"/>
      <x:c r="F21" s="26"/>
      <x:c r="G21" s="26"/>
      <x:c r="H21" s="26"/>
      <x:c r="I21" s="32"/>
    </x:row>
    <x:row r="22">
      <x:c r="A22" s="26"/>
      <x:c r="B22" s="32"/>
      <x:c r="C22" s="26"/>
      <x:c r="D22" s="26"/>
      <x:c r="E22" s="26"/>
      <x:c r="F22" s="26"/>
      <x:c r="G22" s="26"/>
      <x:c r="H22" s="26"/>
      <x:c r="I22" s="32"/>
    </x:row>
    <x:row r="23">
      <x:c r="A23" s="26"/>
      <x:c r="B23" s="32"/>
      <x:c r="C23" s="26"/>
      <x:c r="D23" s="26"/>
      <x:c r="E23" s="26"/>
      <x:c r="F23" s="26"/>
      <x:c r="G23" s="26"/>
      <x:c r="H23" s="26"/>
      <x:c r="I23" s="32"/>
    </x:row>
    <x:row r="24">
      <x:c r="A24" s="26"/>
      <x:c r="B24" s="32"/>
      <x:c r="C24" s="26"/>
      <x:c r="D24" s="26"/>
      <x:c r="E24" s="26"/>
      <x:c r="F24" s="26"/>
      <x:c r="G24" s="26"/>
      <x:c r="H24" s="26"/>
      <x:c r="I24" s="32"/>
    </x:row>
    <x:row r="25">
      <x:c r="A25" s="26"/>
      <x:c r="B25" s="32"/>
      <x:c r="C25" s="26"/>
      <x:c r="D25" s="26"/>
      <x:c r="E25" s="26"/>
      <x:c r="F25" s="26"/>
      <x:c r="G25" s="26"/>
      <x:c r="H25" s="26"/>
      <x:c r="I25" s="32"/>
    </x:row>
    <x:row r="26">
      <x:c r="A26" s="26"/>
      <x:c r="B26" s="32"/>
      <x:c r="C26" s="26"/>
      <x:c r="D26" s="26"/>
      <x:c r="E26" s="26"/>
      <x:c r="F26" s="26"/>
      <x:c r="G26" s="26"/>
      <x:c r="H26" s="26"/>
      <x:c r="I26" s="32"/>
    </x:row>
    <x:row r="27">
      <x:c r="A27" s="26"/>
      <x:c r="B27" s="32"/>
      <x:c r="C27" s="26"/>
      <x:c r="D27" s="26"/>
      <x:c r="E27" s="26"/>
      <x:c r="F27" s="26"/>
      <x:c r="G27" s="26"/>
      <x:c r="H27" s="26"/>
      <x:c r="I27" s="32"/>
    </x:row>
    <x:row r="28">
      <x:c r="A28" s="26"/>
      <x:c r="B28" s="32"/>
      <x:c r="C28" s="26"/>
      <x:c r="D28" s="26"/>
      <x:c r="E28" s="26"/>
      <x:c r="F28" s="26"/>
      <x:c r="G28" s="26"/>
      <x:c r="H28" s="26"/>
      <x:c r="I28" s="32"/>
    </x:row>
    <x:row r="29">
      <x:c r="A29" s="26"/>
      <x:c r="B29" s="32"/>
      <x:c r="C29" s="26"/>
      <x:c r="D29" s="26"/>
      <x:c r="E29" s="26"/>
      <x:c r="F29" s="26"/>
      <x:c r="G29" s="26"/>
      <x:c r="H29" s="26"/>
      <x:c r="I29" s="32"/>
    </x:row>
    <x:row r="30">
      <x:c r="A30" s="26"/>
      <x:c r="B30" s="32"/>
      <x:c r="C30" s="26"/>
      <x:c r="D30" s="26"/>
      <x:c r="E30" s="26"/>
      <x:c r="F30" s="26"/>
      <x:c r="G30" s="26"/>
      <x:c r="H30" s="26"/>
      <x:c r="I30" s="32"/>
    </x:row>
    <x:row r="31">
      <x:c r="A31" s="26"/>
      <x:c r="B31" s="32"/>
      <x:c r="C31" s="26"/>
      <x:c r="D31" s="26"/>
      <x:c r="E31" s="26"/>
      <x:c r="F31" s="26"/>
      <x:c r="G31" s="26"/>
      <x:c r="H31" s="26"/>
      <x:c r="I31" s="32"/>
    </x:row>
    <x:row r="32">
      <x:c r="A32" s="26"/>
      <x:c r="B32" s="32"/>
      <x:c r="C32" s="26"/>
      <x:c r="D32" s="26"/>
      <x:c r="E32" s="26"/>
      <x:c r="F32" s="26"/>
      <x:c r="G32" s="26"/>
      <x:c r="H32" s="26"/>
      <x:c r="I32" s="32"/>
    </x:row>
    <x:row r="33">
      <x:c r="A33" s="26"/>
      <x:c r="B33" s="32"/>
      <x:c r="C33" s="26"/>
      <x:c r="D33" s="26"/>
      <x:c r="E33" s="26"/>
      <x:c r="F33" s="26"/>
      <x:c r="G33" s="26"/>
      <x:c r="H33" s="26"/>
      <x:c r="I33" s="32"/>
    </x:row>
    <x:row r="34">
      <x:c r="A34" s="26"/>
      <x:c r="B34" s="32"/>
      <x:c r="C34" s="26"/>
      <x:c r="D34" s="26"/>
      <x:c r="E34" s="26"/>
      <x:c r="F34" s="26"/>
      <x:c r="G34" s="26"/>
      <x:c r="H34" s="26"/>
      <x:c r="I34" s="32"/>
    </x:row>
    <x:row r="35">
      <x:c r="A35" s="26"/>
      <x:c r="B35" s="32"/>
      <x:c r="C35" s="26"/>
      <x:c r="D35" s="26"/>
      <x:c r="E35" s="26"/>
      <x:c r="F35" s="26"/>
      <x:c r="G35" s="26"/>
      <x:c r="H35" s="26"/>
      <x:c r="I35" s="32"/>
    </x:row>
    <x:row r="36">
      <x:c r="A36" s="26"/>
      <x:c r="B36" s="32"/>
      <x:c r="C36" s="26"/>
      <x:c r="D36" s="26"/>
      <x:c r="E36" s="26"/>
      <x:c r="F36" s="26"/>
      <x:c r="G36" s="26"/>
      <x:c r="H36" s="26"/>
      <x:c r="I36" s="32"/>
    </x:row>
    <x:row r="37">
      <x:c r="A37" s="26"/>
      <x:c r="B37" s="32"/>
      <x:c r="C37" s="26"/>
      <x:c r="D37" s="26"/>
      <x:c r="E37" s="26"/>
      <x:c r="F37" s="26"/>
      <x:c r="G37" s="26"/>
      <x:c r="H37" s="26"/>
      <x:c r="I37" s="32"/>
    </x:row>
    <x:row r="38">
      <x:c r="A38" s="26"/>
      <x:c r="B38" s="32"/>
      <x:c r="C38" s="26"/>
      <x:c r="D38" s="26"/>
      <x:c r="E38" s="26"/>
      <x:c r="F38" s="26"/>
      <x:c r="G38" s="26"/>
      <x:c r="H38" s="26"/>
      <x:c r="I38" s="32"/>
    </x:row>
    <x:row r="39">
      <x:c r="A39" s="26"/>
      <x:c r="B39" s="32"/>
      <x:c r="C39" s="26"/>
      <x:c r="D39" s="26"/>
      <x:c r="E39" s="26"/>
      <x:c r="F39" s="26"/>
      <x:c r="G39" s="26"/>
      <x:c r="H39" s="26"/>
      <x:c r="I39" s="32"/>
    </x:row>
    <x:row r="40">
      <x:c r="A40" s="26"/>
      <x:c r="B40" s="32"/>
      <x:c r="C40" s="26"/>
      <x:c r="D40" s="26"/>
      <x:c r="E40" s="26"/>
      <x:c r="F40" s="26"/>
      <x:c r="G40" s="26"/>
      <x:c r="H40" s="26"/>
      <x:c r="I40" s="32"/>
    </x:row>
    <x:row r="41">
      <x:c r="A41" s="26"/>
      <x:c r="B41" s="32"/>
      <x:c r="C41" s="26"/>
      <x:c r="D41" s="26"/>
      <x:c r="E41" s="26"/>
      <x:c r="F41" s="26"/>
      <x:c r="G41" s="26"/>
      <x:c r="H41" s="26"/>
      <x:c r="I41" s="32"/>
    </x:row>
    <x:row r="42">
      <x:c r="A42" s="26"/>
      <x:c r="B42" s="32"/>
      <x:c r="C42" s="26"/>
      <x:c r="D42" s="26"/>
      <x:c r="E42" s="26"/>
      <x:c r="F42" s="26"/>
      <x:c r="G42" s="26"/>
      <x:c r="H42" s="26"/>
      <x:c r="I42" s="32"/>
    </x:row>
    <x:row r="43">
      <x:c r="A43" s="26"/>
      <x:c r="B43" s="32"/>
      <x:c r="C43" s="26"/>
      <x:c r="D43" s="26"/>
      <x:c r="E43" s="26"/>
      <x:c r="F43" s="26"/>
      <x:c r="G43" s="26"/>
      <x:c r="H43" s="26"/>
      <x:c r="I43" s="32"/>
    </x:row>
    <x:row r="44">
      <x:c r="A44" s="26"/>
      <x:c r="B44" s="32"/>
      <x:c r="C44" s="26"/>
      <x:c r="D44" s="26"/>
      <x:c r="E44" s="26"/>
      <x:c r="F44" s="26"/>
      <x:c r="G44" s="26"/>
      <x:c r="H44" s="26"/>
      <x:c r="I44" s="32"/>
    </x:row>
    <x:row r="45">
      <x:c r="A45" s="26"/>
      <x:c r="B45" s="32"/>
      <x:c r="C45" s="26"/>
      <x:c r="D45" s="26"/>
      <x:c r="E45" s="26"/>
      <x:c r="F45" s="26"/>
      <x:c r="G45" s="26"/>
      <x:c r="H45" s="26"/>
      <x:c r="I45" s="32"/>
    </x:row>
    <x:row r="46">
      <x:c r="A46" s="26"/>
      <x:c r="B46" s="32"/>
      <x:c r="C46" s="26"/>
      <x:c r="D46" s="26"/>
      <x:c r="E46" s="26"/>
      <x:c r="F46" s="26"/>
      <x:c r="G46" s="26"/>
      <x:c r="H46" s="26"/>
      <x:c r="I46" s="32"/>
    </x:row>
    <x:row r="47">
      <x:c r="A47" s="26"/>
      <x:c r="B47" s="32"/>
      <x:c r="C47" s="26"/>
      <x:c r="D47" s="26"/>
      <x:c r="E47" s="26"/>
      <x:c r="F47" s="26"/>
      <x:c r="G47" s="26"/>
      <x:c r="H47" s="26"/>
      <x:c r="I47" s="32"/>
    </x:row>
    <x:row r="48">
      <x:c r="A48" s="26"/>
      <x:c r="B48" s="32"/>
      <x:c r="C48" s="26"/>
      <x:c r="D48" s="26"/>
      <x:c r="E48" s="26"/>
      <x:c r="F48" s="26"/>
      <x:c r="G48" s="26"/>
      <x:c r="H48" s="26"/>
      <x:c r="I48" s="32"/>
    </x:row>
    <x:row r="49">
      <x:c r="A49" s="26"/>
      <x:c r="B49" s="32"/>
      <x:c r="C49" s="26"/>
      <x:c r="D49" s="26"/>
      <x:c r="E49" s="26"/>
      <x:c r="F49" s="26"/>
      <x:c r="G49" s="26"/>
      <x:c r="H49" s="26"/>
      <x:c r="I49" s="32"/>
    </x:row>
    <x:row r="50">
      <x:c r="A50" s="26"/>
      <x:c r="B50" s="32"/>
      <x:c r="C50" s="26"/>
      <x:c r="D50" s="26"/>
      <x:c r="E50" s="26"/>
      <x:c r="F50" s="26"/>
      <x:c r="G50" s="26"/>
      <x:c r="H50" s="26"/>
      <x:c r="I50" s="32"/>
    </x:row>
    <x:row r="51">
      <x:c r="A51" s="26"/>
      <x:c r="B51" s="32"/>
      <x:c r="C51" s="26"/>
      <x:c r="D51" s="26"/>
      <x:c r="E51" s="26"/>
      <x:c r="F51" s="26"/>
      <x:c r="G51" s="26"/>
      <x:c r="H51" s="26"/>
      <x:c r="I51" s="32"/>
    </x:row>
    <x:row r="52">
      <x:c r="A52" s="26"/>
      <x:c r="B52" s="32"/>
      <x:c r="C52" s="26"/>
      <x:c r="D52" s="26"/>
      <x:c r="E52" s="26"/>
      <x:c r="F52" s="26"/>
      <x:c r="G52" s="26"/>
      <x:c r="H52" s="26"/>
      <x:c r="I52" s="32"/>
    </x:row>
    <x:row r="53">
      <x:c r="A53" s="26"/>
      <x:c r="B53" s="32"/>
      <x:c r="C53" s="26"/>
      <x:c r="D53" s="26"/>
      <x:c r="E53" s="26"/>
      <x:c r="F53" s="26"/>
      <x:c r="G53" s="26"/>
      <x:c r="H53" s="26"/>
      <x:c r="I53" s="32"/>
    </x:row>
    <x:row r="54">
      <x:c r="A54" s="26"/>
      <x:c r="B54" s="32"/>
      <x:c r="C54" s="26"/>
      <x:c r="D54" s="26"/>
      <x:c r="E54" s="26"/>
      <x:c r="F54" s="26"/>
      <x:c r="G54" s="26"/>
      <x:c r="H54" s="26"/>
      <x:c r="I54" s="32"/>
    </x:row>
    <x:row r="55">
      <x:c r="A55" s="26"/>
      <x:c r="B55" s="32"/>
      <x:c r="C55" s="26"/>
      <x:c r="D55" s="26"/>
      <x:c r="E55" s="26"/>
      <x:c r="F55" s="26"/>
      <x:c r="G55" s="26"/>
      <x:c r="H55" s="26"/>
      <x:c r="I55" s="32"/>
    </x:row>
    <x:row r="56">
      <x:c r="A56" s="26"/>
      <x:c r="B56" s="32"/>
      <x:c r="C56" s="26"/>
      <x:c r="D56" s="26"/>
      <x:c r="E56" s="26"/>
      <x:c r="F56" s="26"/>
      <x:c r="G56" s="26"/>
      <x:c r="H56" s="26"/>
      <x:c r="I56" s="32"/>
    </x:row>
    <x:row r="57">
      <x:c r="A57" s="26"/>
      <x:c r="B57" s="32"/>
      <x:c r="C57" s="26"/>
      <x:c r="D57" s="26"/>
      <x:c r="E57" s="26"/>
      <x:c r="F57" s="26"/>
      <x:c r="G57" s="26"/>
      <x:c r="H57" s="26"/>
      <x:c r="I57" s="32"/>
    </x:row>
    <x:row r="58">
      <x:c r="A58" s="26"/>
      <x:c r="B58" s="32"/>
      <x:c r="C58" s="26"/>
      <x:c r="D58" s="26"/>
      <x:c r="E58" s="26"/>
      <x:c r="F58" s="26"/>
      <x:c r="G58" s="26"/>
      <x:c r="H58" s="26"/>
      <x:c r="I58" s="32"/>
    </x:row>
    <x:row r="59">
      <x:c r="A59" s="26"/>
      <x:c r="B59" s="32"/>
      <x:c r="C59" s="26"/>
      <x:c r="D59" s="26"/>
      <x:c r="E59" s="26"/>
      <x:c r="F59" s="26"/>
      <x:c r="G59" s="26"/>
      <x:c r="H59" s="26"/>
      <x:c r="I59" s="32"/>
    </x:row>
    <x:row r="60">
      <x:c r="A60" s="26"/>
      <x:c r="B60" s="32"/>
      <x:c r="C60" s="26"/>
      <x:c r="D60" s="26"/>
      <x:c r="E60" s="26"/>
      <x:c r="F60" s="26"/>
      <x:c r="G60" s="26"/>
      <x:c r="H60" s="26"/>
      <x:c r="I60" s="32"/>
    </x:row>
    <x:row r="61">
      <x:c r="A61" s="26"/>
      <x:c r="B61" s="32"/>
      <x:c r="C61" s="26"/>
      <x:c r="D61" s="26"/>
      <x:c r="E61" s="26"/>
      <x:c r="F61" s="26"/>
      <x:c r="G61" s="26"/>
      <x:c r="H61" s="26"/>
      <x:c r="I61" s="32"/>
    </x:row>
    <x:row r="62">
      <x:c r="A62" s="26"/>
      <x:c r="B62" s="32"/>
      <x:c r="C62" s="26"/>
      <x:c r="D62" s="26"/>
      <x:c r="E62" s="26"/>
      <x:c r="F62" s="26"/>
      <x:c r="G62" s="26"/>
      <x:c r="H62" s="26"/>
      <x:c r="I62" s="32"/>
    </x:row>
    <x:row r="63">
      <x:c r="A63" s="26"/>
      <x:c r="B63" s="32"/>
      <x:c r="C63" s="26"/>
      <x:c r="D63" s="26"/>
      <x:c r="E63" s="26"/>
      <x:c r="F63" s="26"/>
      <x:c r="G63" s="26"/>
      <x:c r="H63" s="26"/>
      <x:c r="I63" s="32"/>
    </x:row>
    <x:row r="64">
      <x:c r="A64" s="26"/>
      <x:c r="B64" s="32"/>
      <x:c r="C64" s="26"/>
      <x:c r="D64" s="26"/>
      <x:c r="E64" s="26"/>
      <x:c r="F64" s="26"/>
      <x:c r="G64" s="26"/>
      <x:c r="H64" s="26"/>
      <x:c r="I64" s="32"/>
    </x:row>
    <x:row r="65">
      <x:c r="A65" s="26"/>
      <x:c r="B65" s="32"/>
      <x:c r="C65" s="26"/>
      <x:c r="D65" s="26"/>
      <x:c r="E65" s="26"/>
      <x:c r="F65" s="26"/>
      <x:c r="G65" s="26"/>
      <x:c r="H65" s="26"/>
      <x:c r="I65" s="32"/>
    </x:row>
    <x:row r="66">
      <x:c r="A66" s="26"/>
      <x:c r="B66" s="32"/>
      <x:c r="C66" s="26"/>
      <x:c r="D66" s="26"/>
      <x:c r="E66" s="26"/>
      <x:c r="F66" s="26"/>
      <x:c r="G66" s="26"/>
      <x:c r="H66" s="26"/>
      <x:c r="I66" s="32"/>
    </x:row>
    <x:row r="67">
      <x:c r="A67" s="26"/>
      <x:c r="B67" s="32"/>
      <x:c r="C67" s="26"/>
      <x:c r="D67" s="26"/>
      <x:c r="E67" s="26"/>
      <x:c r="F67" s="26"/>
      <x:c r="G67" s="26"/>
      <x:c r="H67" s="26"/>
      <x:c r="I67" s="32"/>
    </x:row>
    <x:row r="68">
      <x:c r="A68" s="26"/>
      <x:c r="B68" s="32"/>
      <x:c r="C68" s="26"/>
      <x:c r="D68" s="26"/>
      <x:c r="E68" s="26"/>
      <x:c r="F68" s="26"/>
      <x:c r="G68" s="26"/>
      <x:c r="H68" s="26"/>
      <x:c r="I68" s="32"/>
    </x:row>
    <x:row r="69">
      <x:c r="A69" s="26"/>
      <x:c r="B69" s="32"/>
      <x:c r="C69" s="26"/>
      <x:c r="D69" s="26"/>
      <x:c r="E69" s="26"/>
      <x:c r="F69" s="26"/>
      <x:c r="G69" s="26"/>
      <x:c r="H69" s="26"/>
      <x:c r="I69" s="32"/>
    </x:row>
    <x:row r="70">
      <x:c r="A70" s="26"/>
      <x:c r="B70" s="32"/>
      <x:c r="C70" s="26"/>
      <x:c r="D70" s="26"/>
      <x:c r="E70" s="26"/>
      <x:c r="F70" s="26"/>
      <x:c r="G70" s="26"/>
      <x:c r="H70" s="26"/>
      <x:c r="I70" s="32"/>
    </x:row>
    <x:row r="71">
      <x:c r="A71" s="26"/>
      <x:c r="B71" s="32"/>
      <x:c r="C71" s="26"/>
      <x:c r="D71" s="26"/>
      <x:c r="E71" s="26"/>
      <x:c r="F71" s="26"/>
      <x:c r="G71" s="26"/>
      <x:c r="H71" s="26"/>
      <x:c r="I71" s="32"/>
    </x:row>
    <x:row r="72">
      <x:c r="A72" s="26"/>
      <x:c r="B72" s="32"/>
      <x:c r="C72" s="26"/>
      <x:c r="D72" s="26"/>
      <x:c r="E72" s="26"/>
      <x:c r="F72" s="26"/>
      <x:c r="G72" s="26"/>
      <x:c r="H72" s="26"/>
      <x:c r="I72" s="32"/>
    </x:row>
    <x:row r="73">
      <x:c r="A73" s="26"/>
      <x:c r="B73" s="32"/>
      <x:c r="C73" s="26"/>
      <x:c r="D73" s="26"/>
      <x:c r="E73" s="26"/>
      <x:c r="F73" s="26"/>
      <x:c r="G73" s="26"/>
      <x:c r="H73" s="26"/>
      <x:c r="I73" s="32"/>
    </x:row>
    <x:row r="74">
      <x:c r="A74" s="26"/>
      <x:c r="B74" s="32"/>
      <x:c r="C74" s="26"/>
      <x:c r="D74" s="26"/>
      <x:c r="E74" s="26"/>
      <x:c r="F74" s="26"/>
      <x:c r="G74" s="26"/>
      <x:c r="H74" s="26"/>
      <x:c r="I74" s="32"/>
    </x:row>
    <x:row r="75">
      <x:c r="A75" s="26"/>
      <x:c r="B75" s="32"/>
      <x:c r="C75" s="26"/>
      <x:c r="D75" s="26"/>
      <x:c r="E75" s="26"/>
      <x:c r="F75" s="26"/>
      <x:c r="G75" s="26"/>
      <x:c r="H75" s="26"/>
      <x:c r="I75" s="32"/>
    </x:row>
    <x:row r="76">
      <x:c r="A76" s="26"/>
      <x:c r="B76" s="32"/>
      <x:c r="C76" s="26"/>
      <x:c r="D76" s="26"/>
      <x:c r="E76" s="26"/>
      <x:c r="F76" s="26"/>
      <x:c r="G76" s="26"/>
      <x:c r="H76" s="26"/>
      <x:c r="I76" s="32"/>
    </x:row>
    <x:row r="77">
      <x:c r="A77" s="26"/>
      <x:c r="B77" s="32"/>
      <x:c r="C77" s="26"/>
      <x:c r="D77" s="26"/>
      <x:c r="E77" s="26"/>
      <x:c r="F77" s="26"/>
      <x:c r="G77" s="26"/>
      <x:c r="H77" s="26"/>
      <x:c r="I77" s="32"/>
    </x:row>
    <x:row r="78">
      <x:c r="A78" s="26"/>
      <x:c r="B78" s="32"/>
      <x:c r="C78" s="26"/>
      <x:c r="D78" s="26"/>
      <x:c r="E78" s="26"/>
      <x:c r="F78" s="26"/>
      <x:c r="G78" s="26"/>
      <x:c r="H78" s="26"/>
      <x:c r="I78" s="32"/>
    </x:row>
    <x:row r="79">
      <x:c r="A79" s="26"/>
      <x:c r="B79" s="32"/>
      <x:c r="C79" s="26"/>
      <x:c r="D79" s="26"/>
      <x:c r="E79" s="26"/>
      <x:c r="F79" s="26"/>
      <x:c r="G79" s="26"/>
      <x:c r="H79" s="26"/>
      <x:c r="I79" s="32"/>
    </x:row>
    <x:row r="80">
      <x:c r="A80" s="26"/>
      <x:c r="B80" s="32"/>
      <x:c r="C80" s="26"/>
      <x:c r="D80" s="26"/>
      <x:c r="E80" s="26"/>
      <x:c r="F80" s="26"/>
      <x:c r="G80" s="26"/>
      <x:c r="H80" s="26"/>
      <x:c r="I80" s="32"/>
    </x:row>
    <x:row r="81">
      <x:c r="A81" s="26"/>
      <x:c r="B81" s="32"/>
      <x:c r="C81" s="26"/>
      <x:c r="D81" s="26"/>
      <x:c r="E81" s="26"/>
      <x:c r="F81" s="26"/>
      <x:c r="G81" s="26"/>
      <x:c r="H81" s="26"/>
      <x:c r="I81" s="32"/>
    </x:row>
    <x:row r="82">
      <x:c r="A82" s="26"/>
      <x:c r="B82" s="32"/>
      <x:c r="C82" s="26"/>
      <x:c r="D82" s="26"/>
      <x:c r="E82" s="26"/>
      <x:c r="F82" s="26"/>
      <x:c r="G82" s="26"/>
      <x:c r="H82" s="26"/>
      <x:c r="I82" s="32"/>
    </x:row>
    <x:row r="83">
      <x:c r="A83" s="26"/>
      <x:c r="B83" s="32"/>
      <x:c r="C83" s="26"/>
      <x:c r="D83" s="26"/>
      <x:c r="E83" s="26"/>
      <x:c r="F83" s="26"/>
      <x:c r="G83" s="26"/>
      <x:c r="H83" s="26"/>
      <x:c r="I83" s="32"/>
    </x:row>
    <x:row r="84">
      <x:c r="A84" s="26"/>
      <x:c r="B84" s="32"/>
      <x:c r="C84" s="26"/>
      <x:c r="D84" s="26"/>
      <x:c r="E84" s="26"/>
      <x:c r="F84" s="26"/>
      <x:c r="G84" s="26"/>
      <x:c r="H84" s="26"/>
      <x:c r="I84" s="32"/>
    </x:row>
    <x:row r="85">
      <x:c r="A85" s="26"/>
      <x:c r="B85" s="32"/>
      <x:c r="C85" s="26"/>
      <x:c r="D85" s="26"/>
      <x:c r="E85" s="26"/>
      <x:c r="F85" s="26"/>
      <x:c r="G85" s="26"/>
      <x:c r="H85" s="26"/>
      <x:c r="I85" s="32"/>
    </x:row>
    <x:row r="86">
      <x:c r="A86" s="26"/>
      <x:c r="B86" s="32"/>
      <x:c r="C86" s="26"/>
      <x:c r="D86" s="26"/>
      <x:c r="E86" s="26"/>
      <x:c r="F86" s="26"/>
      <x:c r="G86" s="26"/>
      <x:c r="H86" s="26"/>
      <x:c r="I86" s="32"/>
    </x:row>
    <x:row r="87">
      <x:c r="A87" s="26"/>
      <x:c r="B87" s="32"/>
      <x:c r="C87" s="26"/>
      <x:c r="D87" s="26"/>
      <x:c r="E87" s="26"/>
      <x:c r="F87" s="26"/>
      <x:c r="G87" s="26"/>
      <x:c r="H87" s="26"/>
      <x:c r="I87" s="32"/>
    </x:row>
    <x:row r="88">
      <x:c r="A88" s="26"/>
      <x:c r="B88" s="32"/>
      <x:c r="C88" s="26"/>
      <x:c r="D88" s="26"/>
      <x:c r="E88" s="26"/>
      <x:c r="F88" s="26"/>
      <x:c r="G88" s="26"/>
      <x:c r="H88" s="26"/>
      <x:c r="I88" s="32"/>
    </x:row>
    <x:row r="89">
      <x:c r="A89" s="26"/>
      <x:c r="B89" s="32"/>
      <x:c r="C89" s="26"/>
      <x:c r="D89" s="26"/>
      <x:c r="E89" s="26"/>
      <x:c r="F89" s="26"/>
      <x:c r="G89" s="26"/>
      <x:c r="H89" s="26"/>
      <x:c r="I89" s="32"/>
    </x:row>
    <x:row r="90">
      <x:c r="A90" s="26"/>
      <x:c r="B90" s="32"/>
      <x:c r="C90" s="26"/>
      <x:c r="D90" s="26"/>
      <x:c r="E90" s="26"/>
      <x:c r="F90" s="26"/>
      <x:c r="G90" s="26"/>
      <x:c r="H90" s="26"/>
      <x:c r="I90" s="32"/>
    </x:row>
    <x:row r="91">
      <x:c r="A91" s="26"/>
      <x:c r="B91" s="32"/>
      <x:c r="C91" s="26"/>
      <x:c r="D91" s="26"/>
      <x:c r="E91" s="26"/>
      <x:c r="F91" s="26"/>
      <x:c r="G91" s="26"/>
      <x:c r="H91" s="26"/>
      <x:c r="I91" s="32"/>
    </x:row>
    <x:row r="92">
      <x:c r="A92" s="26"/>
      <x:c r="B92" s="32"/>
      <x:c r="C92" s="26"/>
      <x:c r="D92" s="26"/>
      <x:c r="E92" s="26"/>
      <x:c r="F92" s="26"/>
      <x:c r="G92" s="26"/>
      <x:c r="H92" s="26"/>
      <x:c r="I92" s="32"/>
    </x:row>
    <x:row r="93">
      <x:c r="A93" s="26"/>
      <x:c r="B93" s="32"/>
      <x:c r="C93" s="26"/>
      <x:c r="D93" s="26"/>
      <x:c r="E93" s="26"/>
      <x:c r="F93" s="26"/>
      <x:c r="G93" s="26"/>
      <x:c r="H93" s="26"/>
      <x:c r="I93" s="32"/>
    </x:row>
    <x:row r="94">
      <x:c r="A94" s="26"/>
      <x:c r="B94" s="32"/>
      <x:c r="C94" s="26"/>
      <x:c r="D94" s="26"/>
      <x:c r="E94" s="26"/>
      <x:c r="F94" s="26"/>
      <x:c r="G94" s="26"/>
      <x:c r="H94" s="26"/>
      <x:c r="I94" s="32"/>
    </x:row>
    <x:row r="95">
      <x:c r="A95" s="26"/>
      <x:c r="B95" s="32"/>
      <x:c r="C95" s="26"/>
      <x:c r="D95" s="26"/>
      <x:c r="E95" s="26"/>
      <x:c r="F95" s="26"/>
      <x:c r="G95" s="26"/>
      <x:c r="H95" s="26"/>
      <x:c r="I95" s="32"/>
    </x:row>
    <x:row r="96">
      <x:c r="A96" s="26"/>
      <x:c r="B96" s="32"/>
      <x:c r="C96" s="26"/>
      <x:c r="D96" s="26"/>
      <x:c r="E96" s="26"/>
      <x:c r="F96" s="26"/>
      <x:c r="G96" s="26"/>
      <x:c r="H96" s="26"/>
      <x:c r="I96" s="32"/>
    </x:row>
    <x:row r="97">
      <x:c r="A97" s="26"/>
      <x:c r="B97" s="32"/>
      <x:c r="C97" s="26"/>
      <x:c r="D97" s="26"/>
      <x:c r="E97" s="26"/>
      <x:c r="F97" s="26"/>
      <x:c r="G97" s="26"/>
      <x:c r="H97" s="26"/>
      <x:c r="I97" s="32"/>
    </x:row>
    <x:row r="98">
      <x:c r="A98" s="26"/>
      <x:c r="B98" s="32"/>
      <x:c r="C98" s="26"/>
      <x:c r="D98" s="26"/>
      <x:c r="E98" s="26"/>
      <x:c r="F98" s="26"/>
      <x:c r="G98" s="26"/>
      <x:c r="H98" s="26"/>
      <x:c r="I98" s="32"/>
    </x:row>
    <x:row r="99">
      <x:c r="A99" s="26"/>
      <x:c r="B99" s="32"/>
      <x:c r="C99" s="26"/>
      <x:c r="D99" s="26"/>
      <x:c r="E99" s="26"/>
      <x:c r="F99" s="26"/>
      <x:c r="G99" s="26"/>
      <x:c r="H99" s="26"/>
      <x:c r="I99" s="32"/>
    </x:row>
    <x:row r="100">
      <x:c r="A100" s="26"/>
      <x:c r="B100" s="32"/>
      <x:c r="C100" s="26"/>
      <x:c r="D100" s="26"/>
      <x:c r="E100" s="26"/>
      <x:c r="F100" s="26"/>
      <x:c r="G100" s="26"/>
      <x:c r="H100" s="26"/>
      <x:c r="I100" s="32"/>
    </x:row>
    <x:row r="101">
      <x:c r="A101" s="26"/>
      <x:c r="B101" s="32"/>
      <x:c r="C101" s="26"/>
      <x:c r="D101" s="26"/>
      <x:c r="E101" s="26"/>
      <x:c r="F101" s="26"/>
      <x:c r="G101" s="26"/>
      <x:c r="H101" s="26"/>
      <x:c r="I101" s="32"/>
    </x:row>
    <x:row r="102">
      <x:c r="A102" s="26"/>
      <x:c r="B102" s="32"/>
      <x:c r="C102" s="26"/>
      <x:c r="D102" s="26"/>
      <x:c r="E102" s="26"/>
      <x:c r="F102" s="26"/>
      <x:c r="G102" s="26"/>
      <x:c r="H102" s="26"/>
      <x:c r="I102" s="32"/>
    </x:row>
    <x:row r="103">
      <x:c r="A103" s="26"/>
      <x:c r="B103" s="32"/>
      <x:c r="C103" s="26"/>
      <x:c r="D103" s="26"/>
      <x:c r="E103" s="26"/>
      <x:c r="F103" s="26"/>
      <x:c r="G103" s="26"/>
      <x:c r="H103" s="26"/>
      <x:c r="I103" s="32"/>
    </x:row>
    <x:row r="104">
      <x:c r="A104" s="26"/>
      <x:c r="B104" s="32"/>
      <x:c r="C104" s="26"/>
      <x:c r="D104" s="26"/>
      <x:c r="E104" s="26"/>
      <x:c r="F104" s="26"/>
      <x:c r="G104" s="26"/>
      <x:c r="H104" s="26"/>
      <x:c r="I104" s="32"/>
    </x:row>
  </x:sheetData>
  <x:mergeCells>
    <x:mergeCell ref="A1:H1"/>
    <x:mergeCell ref="A2:H2"/>
  </x:mergeCells>
  <x:dataValidations count="1">
    <x:dataValidation type="list" sqref="G5:G104">
      <x:formula1>"Open,Closed,Superseded,Needs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561af79ff74d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4" hidden="0" customWidth="1"/>
    <x:col min="6" max="6" width="42" hidden="0" customWidth="1"/>
    <x:col min="7" max="7" width="42" hidden="0" customWidth="1"/>
    <x:col min="8" max="8" width="13" hidden="0" customWidth="1"/>
    <x:col min="9" max="9" width="26" hidden="0" customWidth="1"/>
  </x:cols>
  <x:sheetData>
    <x:row r="1" ht="30" customHeight="1">
      <x:c r="A1" s="37" t="str">
        <x:v>Risk / Issue Log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24" t="str">
        <x:v>Risk gelecekte olabilir; Issue şu an yaşanıyor. Owner ve Next Action boş kalmasın.</x:v>
      </x:c>
      <x:c r="B2" s="23"/>
      <x:c r="C2" s="23"/>
      <x:c r="D2" s="23"/>
      <x:c r="E2" s="23"/>
      <x:c r="F2" s="23"/>
      <x:c r="G2" s="23"/>
      <x:c r="H2" s="23"/>
      <x:c r="I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25" t="str">
        <x:v>ID</x:v>
      </x:c>
      <x:c r="B4" s="25" t="str">
        <x:v>Type</x:v>
      </x:c>
      <x:c r="C4" s="25" t="str">
        <x:v>Severity</x:v>
      </x:c>
      <x:c r="D4" s="25" t="str">
        <x:v>Owner</x:v>
      </x:c>
      <x:c r="E4" s="25" t="str">
        <x:v>Status</x:v>
      </x:c>
      <x:c r="F4" s="25" t="str">
        <x:v>Description</x:v>
      </x:c>
      <x:c r="G4" s="25" t="str">
        <x:v>Mitigation / Next Action</x:v>
      </x:c>
      <x:c r="H4" s="25" t="str">
        <x:v>Due Date</x:v>
      </x:c>
      <x:c r="I4" s="25" t="str">
        <x:v>Notes</x:v>
      </x:c>
    </x:row>
    <x:row r="5">
      <x:c r="A5" s="26" t="str">
        <x:v>R-001</x:v>
      </x:c>
      <x:c r="B5" s="26" t="str">
        <x:v>Risk</x:v>
      </x:c>
      <x:c r="C5" s="26" t="str">
        <x:v>Medium</x:v>
      </x:c>
      <x:c r="D5" s="26" t="str">
        <x:v>Yagiz</x:v>
      </x:c>
      <x:c r="E5" s="26" t="str">
        <x:v>Open</x:v>
      </x:c>
      <x:c r="F5" s="26" t="str">
        <x:v>Live LLM evals may expose prompt/catalog context to external provider.</x:v>
      </x:c>
      <x:c r="G5" s="26" t="str">
        <x:v>Use user's Gemini key intentionally; keep test suite offline.</x:v>
      </x:c>
      <x:c r="H5" s="32" t="str"/>
      <x:c r="I5" s="26" t="str">
        <x:v>Documented in HANDOFF.</x:v>
      </x:c>
    </x:row>
    <x:row r="6">
      <x:c r="A6" s="26" t="str">
        <x:v>I-001</x:v>
      </x:c>
      <x:c r="B6" s="26" t="str">
        <x:v>Issue</x:v>
      </x:c>
      <x:c r="C6" s="26" t="str">
        <x:v>Low</x:v>
      </x:c>
      <x:c r="D6" s="26" t="str">
        <x:v>Unassigned</x:v>
      </x:c>
      <x:c r="E6" s="26" t="str">
        <x:v>Open</x:v>
      </x:c>
      <x:c r="F6" s="26" t="str">
        <x:v>Progressive map rendering is owed but not built yet.</x:v>
      </x:c>
      <x:c r="G6" s="26" t="str">
        <x:v>Create task and implementation plan.</x:v>
      </x:c>
      <x:c r="H6" s="32" t="str"/>
      <x:c r="I6" s="26" t="str">
        <x:v>Owner requested visually captivating execution.</x:v>
      </x:c>
    </x:row>
    <x:row r="7">
      <x:c r="A7" s="26"/>
      <x:c r="B7" s="26"/>
      <x:c r="C7" s="26"/>
      <x:c r="D7" s="26"/>
      <x:c r="E7" s="26"/>
      <x:c r="F7" s="26"/>
      <x:c r="G7" s="26"/>
      <x:c r="H7" s="32"/>
      <x:c r="I7" s="26"/>
    </x:row>
    <x:row r="8">
      <x:c r="A8" s="26"/>
      <x:c r="B8" s="26"/>
      <x:c r="C8" s="26"/>
      <x:c r="D8" s="26"/>
      <x:c r="E8" s="26"/>
      <x:c r="F8" s="26"/>
      <x:c r="G8" s="26"/>
      <x:c r="H8" s="32"/>
      <x:c r="I8" s="26"/>
    </x:row>
    <x:row r="9">
      <x:c r="A9" s="26"/>
      <x:c r="B9" s="26"/>
      <x:c r="C9" s="26"/>
      <x:c r="D9" s="26"/>
      <x:c r="E9" s="26"/>
      <x:c r="F9" s="26"/>
      <x:c r="G9" s="26"/>
      <x:c r="H9" s="32"/>
      <x:c r="I9" s="26"/>
    </x:row>
    <x:row r="10">
      <x:c r="A10" s="26"/>
      <x:c r="B10" s="26"/>
      <x:c r="C10" s="26"/>
      <x:c r="D10" s="26"/>
      <x:c r="E10" s="26"/>
      <x:c r="F10" s="26"/>
      <x:c r="G10" s="26"/>
      <x:c r="H10" s="32"/>
      <x:c r="I10" s="26"/>
    </x:row>
    <x:row r="11">
      <x:c r="A11" s="26"/>
      <x:c r="B11" s="26"/>
      <x:c r="C11" s="26"/>
      <x:c r="D11" s="26"/>
      <x:c r="E11" s="26"/>
      <x:c r="F11" s="26"/>
      <x:c r="G11" s="26"/>
      <x:c r="H11" s="32"/>
      <x:c r="I11" s="26"/>
    </x:row>
    <x:row r="12">
      <x:c r="A12" s="26"/>
      <x:c r="B12" s="26"/>
      <x:c r="C12" s="26"/>
      <x:c r="D12" s="26"/>
      <x:c r="E12" s="26"/>
      <x:c r="F12" s="26"/>
      <x:c r="G12" s="26"/>
      <x:c r="H12" s="32"/>
      <x:c r="I12" s="26"/>
    </x:row>
    <x:row r="13">
      <x:c r="A13" s="26"/>
      <x:c r="B13" s="26"/>
      <x:c r="C13" s="26"/>
      <x:c r="D13" s="26"/>
      <x:c r="E13" s="26"/>
      <x:c r="F13" s="26"/>
      <x:c r="G13" s="26"/>
      <x:c r="H13" s="32"/>
      <x:c r="I13" s="26"/>
    </x:row>
    <x:row r="14">
      <x:c r="A14" s="26"/>
      <x:c r="B14" s="26"/>
      <x:c r="C14" s="26"/>
      <x:c r="D14" s="26"/>
      <x:c r="E14" s="26"/>
      <x:c r="F14" s="26"/>
      <x:c r="G14" s="26"/>
      <x:c r="H14" s="32"/>
      <x:c r="I14" s="26"/>
    </x:row>
    <x:row r="15">
      <x:c r="A15" s="26"/>
      <x:c r="B15" s="26"/>
      <x:c r="C15" s="26"/>
      <x:c r="D15" s="26"/>
      <x:c r="E15" s="26"/>
      <x:c r="F15" s="26"/>
      <x:c r="G15" s="26"/>
      <x:c r="H15" s="32"/>
      <x:c r="I15" s="26"/>
    </x:row>
    <x:row r="16">
      <x:c r="A16" s="26"/>
      <x:c r="B16" s="26"/>
      <x:c r="C16" s="26"/>
      <x:c r="D16" s="26"/>
      <x:c r="E16" s="26"/>
      <x:c r="F16" s="26"/>
      <x:c r="G16" s="26"/>
      <x:c r="H16" s="32"/>
      <x:c r="I16" s="26"/>
    </x:row>
    <x:row r="17">
      <x:c r="A17" s="26"/>
      <x:c r="B17" s="26"/>
      <x:c r="C17" s="26"/>
      <x:c r="D17" s="26"/>
      <x:c r="E17" s="26"/>
      <x:c r="F17" s="26"/>
      <x:c r="G17" s="26"/>
      <x:c r="H17" s="32"/>
      <x:c r="I17" s="26"/>
    </x:row>
    <x:row r="18">
      <x:c r="A18" s="26"/>
      <x:c r="B18" s="26"/>
      <x:c r="C18" s="26"/>
      <x:c r="D18" s="26"/>
      <x:c r="E18" s="26"/>
      <x:c r="F18" s="26"/>
      <x:c r="G18" s="26"/>
      <x:c r="H18" s="32"/>
      <x:c r="I18" s="26"/>
    </x:row>
    <x:row r="19">
      <x:c r="A19" s="26"/>
      <x:c r="B19" s="26"/>
      <x:c r="C19" s="26"/>
      <x:c r="D19" s="26"/>
      <x:c r="E19" s="26"/>
      <x:c r="F19" s="26"/>
      <x:c r="G19" s="26"/>
      <x:c r="H19" s="32"/>
      <x:c r="I19" s="26"/>
    </x:row>
    <x:row r="20">
      <x:c r="A20" s="26"/>
      <x:c r="B20" s="26"/>
      <x:c r="C20" s="26"/>
      <x:c r="D20" s="26"/>
      <x:c r="E20" s="26"/>
      <x:c r="F20" s="26"/>
      <x:c r="G20" s="26"/>
      <x:c r="H20" s="32"/>
      <x:c r="I20" s="26"/>
    </x:row>
    <x:row r="21">
      <x:c r="A21" s="26"/>
      <x:c r="B21" s="26"/>
      <x:c r="C21" s="26"/>
      <x:c r="D21" s="26"/>
      <x:c r="E21" s="26"/>
      <x:c r="F21" s="26"/>
      <x:c r="G21" s="26"/>
      <x:c r="H21" s="32"/>
      <x:c r="I21" s="26"/>
    </x:row>
    <x:row r="22">
      <x:c r="A22" s="26"/>
      <x:c r="B22" s="26"/>
      <x:c r="C22" s="26"/>
      <x:c r="D22" s="26"/>
      <x:c r="E22" s="26"/>
      <x:c r="F22" s="26"/>
      <x:c r="G22" s="26"/>
      <x:c r="H22" s="32"/>
      <x:c r="I22" s="26"/>
    </x:row>
    <x:row r="23">
      <x:c r="A23" s="26"/>
      <x:c r="B23" s="26"/>
      <x:c r="C23" s="26"/>
      <x:c r="D23" s="26"/>
      <x:c r="E23" s="26"/>
      <x:c r="F23" s="26"/>
      <x:c r="G23" s="26"/>
      <x:c r="H23" s="32"/>
      <x:c r="I23" s="26"/>
    </x:row>
    <x:row r="24">
      <x:c r="A24" s="26"/>
      <x:c r="B24" s="26"/>
      <x:c r="C24" s="26"/>
      <x:c r="D24" s="26"/>
      <x:c r="E24" s="26"/>
      <x:c r="F24" s="26"/>
      <x:c r="G24" s="26"/>
      <x:c r="H24" s="32"/>
      <x:c r="I24" s="26"/>
    </x:row>
    <x:row r="25">
      <x:c r="A25" s="26"/>
      <x:c r="B25" s="26"/>
      <x:c r="C25" s="26"/>
      <x:c r="D25" s="26"/>
      <x:c r="E25" s="26"/>
      <x:c r="F25" s="26"/>
      <x:c r="G25" s="26"/>
      <x:c r="H25" s="32"/>
      <x:c r="I25" s="26"/>
    </x:row>
    <x:row r="26">
      <x:c r="A26" s="26"/>
      <x:c r="B26" s="26"/>
      <x:c r="C26" s="26"/>
      <x:c r="D26" s="26"/>
      <x:c r="E26" s="26"/>
      <x:c r="F26" s="26"/>
      <x:c r="G26" s="26"/>
      <x:c r="H26" s="32"/>
      <x:c r="I26" s="26"/>
    </x:row>
    <x:row r="27">
      <x:c r="A27" s="26"/>
      <x:c r="B27" s="26"/>
      <x:c r="C27" s="26"/>
      <x:c r="D27" s="26"/>
      <x:c r="E27" s="26"/>
      <x:c r="F27" s="26"/>
      <x:c r="G27" s="26"/>
      <x:c r="H27" s="32"/>
      <x:c r="I27" s="26"/>
    </x:row>
    <x:row r="28">
      <x:c r="A28" s="26"/>
      <x:c r="B28" s="26"/>
      <x:c r="C28" s="26"/>
      <x:c r="D28" s="26"/>
      <x:c r="E28" s="26"/>
      <x:c r="F28" s="26"/>
      <x:c r="G28" s="26"/>
      <x:c r="H28" s="32"/>
      <x:c r="I28" s="26"/>
    </x:row>
    <x:row r="29">
      <x:c r="A29" s="26"/>
      <x:c r="B29" s="26"/>
      <x:c r="C29" s="26"/>
      <x:c r="D29" s="26"/>
      <x:c r="E29" s="26"/>
      <x:c r="F29" s="26"/>
      <x:c r="G29" s="26"/>
      <x:c r="H29" s="32"/>
      <x:c r="I29" s="26"/>
    </x:row>
    <x:row r="30">
      <x:c r="A30" s="26"/>
      <x:c r="B30" s="26"/>
      <x:c r="C30" s="26"/>
      <x:c r="D30" s="26"/>
      <x:c r="E30" s="26"/>
      <x:c r="F30" s="26"/>
      <x:c r="G30" s="26"/>
      <x:c r="H30" s="32"/>
      <x:c r="I30" s="26"/>
    </x:row>
    <x:row r="31">
      <x:c r="A31" s="26"/>
      <x:c r="B31" s="26"/>
      <x:c r="C31" s="26"/>
      <x:c r="D31" s="26"/>
      <x:c r="E31" s="26"/>
      <x:c r="F31" s="26"/>
      <x:c r="G31" s="26"/>
      <x:c r="H31" s="32"/>
      <x:c r="I31" s="26"/>
    </x:row>
    <x:row r="32">
      <x:c r="A32" s="26"/>
      <x:c r="B32" s="26"/>
      <x:c r="C32" s="26"/>
      <x:c r="D32" s="26"/>
      <x:c r="E32" s="26"/>
      <x:c r="F32" s="26"/>
      <x:c r="G32" s="26"/>
      <x:c r="H32" s="32"/>
      <x:c r="I32" s="26"/>
    </x:row>
    <x:row r="33">
      <x:c r="A33" s="26"/>
      <x:c r="B33" s="26"/>
      <x:c r="C33" s="26"/>
      <x:c r="D33" s="26"/>
      <x:c r="E33" s="26"/>
      <x:c r="F33" s="26"/>
      <x:c r="G33" s="26"/>
      <x:c r="H33" s="32"/>
      <x:c r="I33" s="26"/>
    </x:row>
    <x:row r="34">
      <x:c r="A34" s="26"/>
      <x:c r="B34" s="26"/>
      <x:c r="C34" s="26"/>
      <x:c r="D34" s="26"/>
      <x:c r="E34" s="26"/>
      <x:c r="F34" s="26"/>
      <x:c r="G34" s="26"/>
      <x:c r="H34" s="32"/>
      <x:c r="I34" s="26"/>
    </x:row>
    <x:row r="35">
      <x:c r="A35" s="26"/>
      <x:c r="B35" s="26"/>
      <x:c r="C35" s="26"/>
      <x:c r="D35" s="26"/>
      <x:c r="E35" s="26"/>
      <x:c r="F35" s="26"/>
      <x:c r="G35" s="26"/>
      <x:c r="H35" s="32"/>
      <x:c r="I35" s="26"/>
    </x:row>
    <x:row r="36">
      <x:c r="A36" s="26"/>
      <x:c r="B36" s="26"/>
      <x:c r="C36" s="26"/>
      <x:c r="D36" s="26"/>
      <x:c r="E36" s="26"/>
      <x:c r="F36" s="26"/>
      <x:c r="G36" s="26"/>
      <x:c r="H36" s="32"/>
      <x:c r="I36" s="26"/>
    </x:row>
    <x:row r="37">
      <x:c r="A37" s="26"/>
      <x:c r="B37" s="26"/>
      <x:c r="C37" s="26"/>
      <x:c r="D37" s="26"/>
      <x:c r="E37" s="26"/>
      <x:c r="F37" s="26"/>
      <x:c r="G37" s="26"/>
      <x:c r="H37" s="32"/>
      <x:c r="I37" s="26"/>
    </x:row>
    <x:row r="38">
      <x:c r="A38" s="26"/>
      <x:c r="B38" s="26"/>
      <x:c r="C38" s="26"/>
      <x:c r="D38" s="26"/>
      <x:c r="E38" s="26"/>
      <x:c r="F38" s="26"/>
      <x:c r="G38" s="26"/>
      <x:c r="H38" s="32"/>
      <x:c r="I38" s="26"/>
    </x:row>
    <x:row r="39">
      <x:c r="A39" s="26"/>
      <x:c r="B39" s="26"/>
      <x:c r="C39" s="26"/>
      <x:c r="D39" s="26"/>
      <x:c r="E39" s="26"/>
      <x:c r="F39" s="26"/>
      <x:c r="G39" s="26"/>
      <x:c r="H39" s="32"/>
      <x:c r="I39" s="26"/>
    </x:row>
    <x:row r="40">
      <x:c r="A40" s="26"/>
      <x:c r="B40" s="26"/>
      <x:c r="C40" s="26"/>
      <x:c r="D40" s="26"/>
      <x:c r="E40" s="26"/>
      <x:c r="F40" s="26"/>
      <x:c r="G40" s="26"/>
      <x:c r="H40" s="32"/>
      <x:c r="I40" s="26"/>
    </x:row>
    <x:row r="41">
      <x:c r="A41" s="26"/>
      <x:c r="B41" s="26"/>
      <x:c r="C41" s="26"/>
      <x:c r="D41" s="26"/>
      <x:c r="E41" s="26"/>
      <x:c r="F41" s="26"/>
      <x:c r="G41" s="26"/>
      <x:c r="H41" s="32"/>
      <x:c r="I41" s="26"/>
    </x:row>
    <x:row r="42">
      <x:c r="A42" s="26"/>
      <x:c r="B42" s="26"/>
      <x:c r="C42" s="26"/>
      <x:c r="D42" s="26"/>
      <x:c r="E42" s="26"/>
      <x:c r="F42" s="26"/>
      <x:c r="G42" s="26"/>
      <x:c r="H42" s="32"/>
      <x:c r="I42" s="26"/>
    </x:row>
    <x:row r="43">
      <x:c r="A43" s="26"/>
      <x:c r="B43" s="26"/>
      <x:c r="C43" s="26"/>
      <x:c r="D43" s="26"/>
      <x:c r="E43" s="26"/>
      <x:c r="F43" s="26"/>
      <x:c r="G43" s="26"/>
      <x:c r="H43" s="32"/>
      <x:c r="I43" s="26"/>
    </x:row>
    <x:row r="44">
      <x:c r="A44" s="26"/>
      <x:c r="B44" s="26"/>
      <x:c r="C44" s="26"/>
      <x:c r="D44" s="26"/>
      <x:c r="E44" s="26"/>
      <x:c r="F44" s="26"/>
      <x:c r="G44" s="26"/>
      <x:c r="H44" s="32"/>
      <x:c r="I44" s="26"/>
    </x:row>
    <x:row r="45">
      <x:c r="A45" s="26"/>
      <x:c r="B45" s="26"/>
      <x:c r="C45" s="26"/>
      <x:c r="D45" s="26"/>
      <x:c r="E45" s="26"/>
      <x:c r="F45" s="26"/>
      <x:c r="G45" s="26"/>
      <x:c r="H45" s="32"/>
      <x:c r="I45" s="26"/>
    </x:row>
    <x:row r="46">
      <x:c r="A46" s="26"/>
      <x:c r="B46" s="26"/>
      <x:c r="C46" s="26"/>
      <x:c r="D46" s="26"/>
      <x:c r="E46" s="26"/>
      <x:c r="F46" s="26"/>
      <x:c r="G46" s="26"/>
      <x:c r="H46" s="32"/>
      <x:c r="I46" s="26"/>
    </x:row>
    <x:row r="47">
      <x:c r="A47" s="26"/>
      <x:c r="B47" s="26"/>
      <x:c r="C47" s="26"/>
      <x:c r="D47" s="26"/>
      <x:c r="E47" s="26"/>
      <x:c r="F47" s="26"/>
      <x:c r="G47" s="26"/>
      <x:c r="H47" s="32"/>
      <x:c r="I47" s="26"/>
    </x:row>
    <x:row r="48">
      <x:c r="A48" s="26"/>
      <x:c r="B48" s="26"/>
      <x:c r="C48" s="26"/>
      <x:c r="D48" s="26"/>
      <x:c r="E48" s="26"/>
      <x:c r="F48" s="26"/>
      <x:c r="G48" s="26"/>
      <x:c r="H48" s="32"/>
      <x:c r="I48" s="26"/>
    </x:row>
    <x:row r="49">
      <x:c r="A49" s="26"/>
      <x:c r="B49" s="26"/>
      <x:c r="C49" s="26"/>
      <x:c r="D49" s="26"/>
      <x:c r="E49" s="26"/>
      <x:c r="F49" s="26"/>
      <x:c r="G49" s="26"/>
      <x:c r="H49" s="32"/>
      <x:c r="I49" s="26"/>
    </x:row>
    <x:row r="50">
      <x:c r="A50" s="26"/>
      <x:c r="B50" s="26"/>
      <x:c r="C50" s="26"/>
      <x:c r="D50" s="26"/>
      <x:c r="E50" s="26"/>
      <x:c r="F50" s="26"/>
      <x:c r="G50" s="26"/>
      <x:c r="H50" s="32"/>
      <x:c r="I50" s="26"/>
    </x:row>
    <x:row r="51">
      <x:c r="A51" s="26"/>
      <x:c r="B51" s="26"/>
      <x:c r="C51" s="26"/>
      <x:c r="D51" s="26"/>
      <x:c r="E51" s="26"/>
      <x:c r="F51" s="26"/>
      <x:c r="G51" s="26"/>
      <x:c r="H51" s="32"/>
      <x:c r="I51" s="26"/>
    </x:row>
    <x:row r="52">
      <x:c r="A52" s="26"/>
      <x:c r="B52" s="26"/>
      <x:c r="C52" s="26"/>
      <x:c r="D52" s="26"/>
      <x:c r="E52" s="26"/>
      <x:c r="F52" s="26"/>
      <x:c r="G52" s="26"/>
      <x:c r="H52" s="32"/>
      <x:c r="I52" s="26"/>
    </x:row>
    <x:row r="53">
      <x:c r="A53" s="26"/>
      <x:c r="B53" s="26"/>
      <x:c r="C53" s="26"/>
      <x:c r="D53" s="26"/>
      <x:c r="E53" s="26"/>
      <x:c r="F53" s="26"/>
      <x:c r="G53" s="26"/>
      <x:c r="H53" s="32"/>
      <x:c r="I53" s="26"/>
    </x:row>
    <x:row r="54">
      <x:c r="A54" s="26"/>
      <x:c r="B54" s="26"/>
      <x:c r="C54" s="26"/>
      <x:c r="D54" s="26"/>
      <x:c r="E54" s="26"/>
      <x:c r="F54" s="26"/>
      <x:c r="G54" s="26"/>
      <x:c r="H54" s="32"/>
      <x:c r="I54" s="26"/>
    </x:row>
    <x:row r="55">
      <x:c r="A55" s="26"/>
      <x:c r="B55" s="26"/>
      <x:c r="C55" s="26"/>
      <x:c r="D55" s="26"/>
      <x:c r="E55" s="26"/>
      <x:c r="F55" s="26"/>
      <x:c r="G55" s="26"/>
      <x:c r="H55" s="32"/>
      <x:c r="I55" s="26"/>
    </x:row>
    <x:row r="56">
      <x:c r="A56" s="26"/>
      <x:c r="B56" s="26"/>
      <x:c r="C56" s="26"/>
      <x:c r="D56" s="26"/>
      <x:c r="E56" s="26"/>
      <x:c r="F56" s="26"/>
      <x:c r="G56" s="26"/>
      <x:c r="H56" s="32"/>
      <x:c r="I56" s="26"/>
    </x:row>
    <x:row r="57">
      <x:c r="A57" s="26"/>
      <x:c r="B57" s="26"/>
      <x:c r="C57" s="26"/>
      <x:c r="D57" s="26"/>
      <x:c r="E57" s="26"/>
      <x:c r="F57" s="26"/>
      <x:c r="G57" s="26"/>
      <x:c r="H57" s="32"/>
      <x:c r="I57" s="26"/>
    </x:row>
    <x:row r="58">
      <x:c r="A58" s="26"/>
      <x:c r="B58" s="26"/>
      <x:c r="C58" s="26"/>
      <x:c r="D58" s="26"/>
      <x:c r="E58" s="26"/>
      <x:c r="F58" s="26"/>
      <x:c r="G58" s="26"/>
      <x:c r="H58" s="32"/>
      <x:c r="I58" s="26"/>
    </x:row>
    <x:row r="59">
      <x:c r="A59" s="26"/>
      <x:c r="B59" s="26"/>
      <x:c r="C59" s="26"/>
      <x:c r="D59" s="26"/>
      <x:c r="E59" s="26"/>
      <x:c r="F59" s="26"/>
      <x:c r="G59" s="26"/>
      <x:c r="H59" s="32"/>
      <x:c r="I59" s="26"/>
    </x:row>
    <x:row r="60">
      <x:c r="A60" s="26"/>
      <x:c r="B60" s="26"/>
      <x:c r="C60" s="26"/>
      <x:c r="D60" s="26"/>
      <x:c r="E60" s="26"/>
      <x:c r="F60" s="26"/>
      <x:c r="G60" s="26"/>
      <x:c r="H60" s="32"/>
      <x:c r="I60" s="26"/>
    </x:row>
    <x:row r="61">
      <x:c r="A61" s="26"/>
      <x:c r="B61" s="26"/>
      <x:c r="C61" s="26"/>
      <x:c r="D61" s="26"/>
      <x:c r="E61" s="26"/>
      <x:c r="F61" s="26"/>
      <x:c r="G61" s="26"/>
      <x:c r="H61" s="32"/>
      <x:c r="I61" s="26"/>
    </x:row>
    <x:row r="62">
      <x:c r="A62" s="26"/>
      <x:c r="B62" s="26"/>
      <x:c r="C62" s="26"/>
      <x:c r="D62" s="26"/>
      <x:c r="E62" s="26"/>
      <x:c r="F62" s="26"/>
      <x:c r="G62" s="26"/>
      <x:c r="H62" s="32"/>
      <x:c r="I62" s="26"/>
    </x:row>
    <x:row r="63">
      <x:c r="A63" s="26"/>
      <x:c r="B63" s="26"/>
      <x:c r="C63" s="26"/>
      <x:c r="D63" s="26"/>
      <x:c r="E63" s="26"/>
      <x:c r="F63" s="26"/>
      <x:c r="G63" s="26"/>
      <x:c r="H63" s="32"/>
      <x:c r="I63" s="26"/>
    </x:row>
    <x:row r="64">
      <x:c r="A64" s="26"/>
      <x:c r="B64" s="26"/>
      <x:c r="C64" s="26"/>
      <x:c r="D64" s="26"/>
      <x:c r="E64" s="26"/>
      <x:c r="F64" s="26"/>
      <x:c r="G64" s="26"/>
      <x:c r="H64" s="32"/>
      <x:c r="I64" s="26"/>
    </x:row>
    <x:row r="65">
      <x:c r="A65" s="26"/>
      <x:c r="B65" s="26"/>
      <x:c r="C65" s="26"/>
      <x:c r="D65" s="26"/>
      <x:c r="E65" s="26"/>
      <x:c r="F65" s="26"/>
      <x:c r="G65" s="26"/>
      <x:c r="H65" s="32"/>
      <x:c r="I65" s="26"/>
    </x:row>
    <x:row r="66">
      <x:c r="A66" s="26"/>
      <x:c r="B66" s="26"/>
      <x:c r="C66" s="26"/>
      <x:c r="D66" s="26"/>
      <x:c r="E66" s="26"/>
      <x:c r="F66" s="26"/>
      <x:c r="G66" s="26"/>
      <x:c r="H66" s="32"/>
      <x:c r="I66" s="26"/>
    </x:row>
    <x:row r="67">
      <x:c r="A67" s="26"/>
      <x:c r="B67" s="26"/>
      <x:c r="C67" s="26"/>
      <x:c r="D67" s="26"/>
      <x:c r="E67" s="26"/>
      <x:c r="F67" s="26"/>
      <x:c r="G67" s="26"/>
      <x:c r="H67" s="32"/>
      <x:c r="I67" s="26"/>
    </x:row>
    <x:row r="68">
      <x:c r="A68" s="26"/>
      <x:c r="B68" s="26"/>
      <x:c r="C68" s="26"/>
      <x:c r="D68" s="26"/>
      <x:c r="E68" s="26"/>
      <x:c r="F68" s="26"/>
      <x:c r="G68" s="26"/>
      <x:c r="H68" s="32"/>
      <x:c r="I68" s="26"/>
    </x:row>
    <x:row r="69">
      <x:c r="A69" s="26"/>
      <x:c r="B69" s="26"/>
      <x:c r="C69" s="26"/>
      <x:c r="D69" s="26"/>
      <x:c r="E69" s="26"/>
      <x:c r="F69" s="26"/>
      <x:c r="G69" s="26"/>
      <x:c r="H69" s="32"/>
      <x:c r="I69" s="26"/>
    </x:row>
    <x:row r="70">
      <x:c r="A70" s="26"/>
      <x:c r="B70" s="26"/>
      <x:c r="C70" s="26"/>
      <x:c r="D70" s="26"/>
      <x:c r="E70" s="26"/>
      <x:c r="F70" s="26"/>
      <x:c r="G70" s="26"/>
      <x:c r="H70" s="32"/>
      <x:c r="I70" s="26"/>
    </x:row>
    <x:row r="71">
      <x:c r="A71" s="26"/>
      <x:c r="B71" s="26"/>
      <x:c r="C71" s="26"/>
      <x:c r="D71" s="26"/>
      <x:c r="E71" s="26"/>
      <x:c r="F71" s="26"/>
      <x:c r="G71" s="26"/>
      <x:c r="H71" s="32"/>
      <x:c r="I71" s="26"/>
    </x:row>
    <x:row r="72">
      <x:c r="A72" s="26"/>
      <x:c r="B72" s="26"/>
      <x:c r="C72" s="26"/>
      <x:c r="D72" s="26"/>
      <x:c r="E72" s="26"/>
      <x:c r="F72" s="26"/>
      <x:c r="G72" s="26"/>
      <x:c r="H72" s="32"/>
      <x:c r="I72" s="26"/>
    </x:row>
    <x:row r="73">
      <x:c r="A73" s="26"/>
      <x:c r="B73" s="26"/>
      <x:c r="C73" s="26"/>
      <x:c r="D73" s="26"/>
      <x:c r="E73" s="26"/>
      <x:c r="F73" s="26"/>
      <x:c r="G73" s="26"/>
      <x:c r="H73" s="32"/>
      <x:c r="I73" s="26"/>
    </x:row>
    <x:row r="74">
      <x:c r="A74" s="26"/>
      <x:c r="B74" s="26"/>
      <x:c r="C74" s="26"/>
      <x:c r="D74" s="26"/>
      <x:c r="E74" s="26"/>
      <x:c r="F74" s="26"/>
      <x:c r="G74" s="26"/>
      <x:c r="H74" s="32"/>
      <x:c r="I74" s="26"/>
    </x:row>
    <x:row r="75">
      <x:c r="A75" s="26"/>
      <x:c r="B75" s="26"/>
      <x:c r="C75" s="26"/>
      <x:c r="D75" s="26"/>
      <x:c r="E75" s="26"/>
      <x:c r="F75" s="26"/>
      <x:c r="G75" s="26"/>
      <x:c r="H75" s="32"/>
      <x:c r="I75" s="26"/>
    </x:row>
    <x:row r="76">
      <x:c r="A76" s="26"/>
      <x:c r="B76" s="26"/>
      <x:c r="C76" s="26"/>
      <x:c r="D76" s="26"/>
      <x:c r="E76" s="26"/>
      <x:c r="F76" s="26"/>
      <x:c r="G76" s="26"/>
      <x:c r="H76" s="32"/>
      <x:c r="I76" s="26"/>
    </x:row>
    <x:row r="77">
      <x:c r="A77" s="26"/>
      <x:c r="B77" s="26"/>
      <x:c r="C77" s="26"/>
      <x:c r="D77" s="26"/>
      <x:c r="E77" s="26"/>
      <x:c r="F77" s="26"/>
      <x:c r="G77" s="26"/>
      <x:c r="H77" s="32"/>
      <x:c r="I77" s="26"/>
    </x:row>
    <x:row r="78">
      <x:c r="A78" s="26"/>
      <x:c r="B78" s="26"/>
      <x:c r="C78" s="26"/>
      <x:c r="D78" s="26"/>
      <x:c r="E78" s="26"/>
      <x:c r="F78" s="26"/>
      <x:c r="G78" s="26"/>
      <x:c r="H78" s="32"/>
      <x:c r="I78" s="26"/>
    </x:row>
    <x:row r="79">
      <x:c r="A79" s="26"/>
      <x:c r="B79" s="26"/>
      <x:c r="C79" s="26"/>
      <x:c r="D79" s="26"/>
      <x:c r="E79" s="26"/>
      <x:c r="F79" s="26"/>
      <x:c r="G79" s="26"/>
      <x:c r="H79" s="32"/>
      <x:c r="I79" s="26"/>
    </x:row>
    <x:row r="80">
      <x:c r="A80" s="26"/>
      <x:c r="B80" s="26"/>
      <x:c r="C80" s="26"/>
      <x:c r="D80" s="26"/>
      <x:c r="E80" s="26"/>
      <x:c r="F80" s="26"/>
      <x:c r="G80" s="26"/>
      <x:c r="H80" s="32"/>
      <x:c r="I80" s="26"/>
    </x:row>
    <x:row r="81">
      <x:c r="A81" s="26"/>
      <x:c r="B81" s="26"/>
      <x:c r="C81" s="26"/>
      <x:c r="D81" s="26"/>
      <x:c r="E81" s="26"/>
      <x:c r="F81" s="26"/>
      <x:c r="G81" s="26"/>
      <x:c r="H81" s="32"/>
      <x:c r="I81" s="26"/>
    </x:row>
    <x:row r="82">
      <x:c r="A82" s="26"/>
      <x:c r="B82" s="26"/>
      <x:c r="C82" s="26"/>
      <x:c r="D82" s="26"/>
      <x:c r="E82" s="26"/>
      <x:c r="F82" s="26"/>
      <x:c r="G82" s="26"/>
      <x:c r="H82" s="32"/>
      <x:c r="I82" s="26"/>
    </x:row>
    <x:row r="83">
      <x:c r="A83" s="26"/>
      <x:c r="B83" s="26"/>
      <x:c r="C83" s="26"/>
      <x:c r="D83" s="26"/>
      <x:c r="E83" s="26"/>
      <x:c r="F83" s="26"/>
      <x:c r="G83" s="26"/>
      <x:c r="H83" s="32"/>
      <x:c r="I83" s="26"/>
    </x:row>
    <x:row r="84">
      <x:c r="A84" s="26"/>
      <x:c r="B84" s="26"/>
      <x:c r="C84" s="26"/>
      <x:c r="D84" s="26"/>
      <x:c r="E84" s="26"/>
      <x:c r="F84" s="26"/>
      <x:c r="G84" s="26"/>
      <x:c r="H84" s="32"/>
      <x:c r="I84" s="26"/>
    </x:row>
    <x:row r="85">
      <x:c r="A85" s="26"/>
      <x:c r="B85" s="26"/>
      <x:c r="C85" s="26"/>
      <x:c r="D85" s="26"/>
      <x:c r="E85" s="26"/>
      <x:c r="F85" s="26"/>
      <x:c r="G85" s="26"/>
      <x:c r="H85" s="32"/>
      <x:c r="I85" s="26"/>
    </x:row>
    <x:row r="86">
      <x:c r="A86" s="26"/>
      <x:c r="B86" s="26"/>
      <x:c r="C86" s="26"/>
      <x:c r="D86" s="26"/>
      <x:c r="E86" s="26"/>
      <x:c r="F86" s="26"/>
      <x:c r="G86" s="26"/>
      <x:c r="H86" s="32"/>
      <x:c r="I86" s="26"/>
    </x:row>
    <x:row r="87">
      <x:c r="A87" s="26"/>
      <x:c r="B87" s="26"/>
      <x:c r="C87" s="26"/>
      <x:c r="D87" s="26"/>
      <x:c r="E87" s="26"/>
      <x:c r="F87" s="26"/>
      <x:c r="G87" s="26"/>
      <x:c r="H87" s="32"/>
      <x:c r="I87" s="26"/>
    </x:row>
    <x:row r="88">
      <x:c r="A88" s="26"/>
      <x:c r="B88" s="26"/>
      <x:c r="C88" s="26"/>
      <x:c r="D88" s="26"/>
      <x:c r="E88" s="26"/>
      <x:c r="F88" s="26"/>
      <x:c r="G88" s="26"/>
      <x:c r="H88" s="32"/>
      <x:c r="I88" s="26"/>
    </x:row>
    <x:row r="89">
      <x:c r="A89" s="26"/>
      <x:c r="B89" s="26"/>
      <x:c r="C89" s="26"/>
      <x:c r="D89" s="26"/>
      <x:c r="E89" s="26"/>
      <x:c r="F89" s="26"/>
      <x:c r="G89" s="26"/>
      <x:c r="H89" s="32"/>
      <x:c r="I89" s="26"/>
    </x:row>
    <x:row r="90">
      <x:c r="A90" s="26"/>
      <x:c r="B90" s="26"/>
      <x:c r="C90" s="26"/>
      <x:c r="D90" s="26"/>
      <x:c r="E90" s="26"/>
      <x:c r="F90" s="26"/>
      <x:c r="G90" s="26"/>
      <x:c r="H90" s="32"/>
      <x:c r="I90" s="26"/>
    </x:row>
    <x:row r="91">
      <x:c r="A91" s="26"/>
      <x:c r="B91" s="26"/>
      <x:c r="C91" s="26"/>
      <x:c r="D91" s="26"/>
      <x:c r="E91" s="26"/>
      <x:c r="F91" s="26"/>
      <x:c r="G91" s="26"/>
      <x:c r="H91" s="32"/>
      <x:c r="I91" s="26"/>
    </x:row>
    <x:row r="92">
      <x:c r="A92" s="26"/>
      <x:c r="B92" s="26"/>
      <x:c r="C92" s="26"/>
      <x:c r="D92" s="26"/>
      <x:c r="E92" s="26"/>
      <x:c r="F92" s="26"/>
      <x:c r="G92" s="26"/>
      <x:c r="H92" s="32"/>
      <x:c r="I92" s="26"/>
    </x:row>
    <x:row r="93">
      <x:c r="A93" s="26"/>
      <x:c r="B93" s="26"/>
      <x:c r="C93" s="26"/>
      <x:c r="D93" s="26"/>
      <x:c r="E93" s="26"/>
      <x:c r="F93" s="26"/>
      <x:c r="G93" s="26"/>
      <x:c r="H93" s="32"/>
      <x:c r="I93" s="26"/>
    </x:row>
    <x:row r="94">
      <x:c r="A94" s="26"/>
      <x:c r="B94" s="26"/>
      <x:c r="C94" s="26"/>
      <x:c r="D94" s="26"/>
      <x:c r="E94" s="26"/>
      <x:c r="F94" s="26"/>
      <x:c r="G94" s="26"/>
      <x:c r="H94" s="32"/>
      <x:c r="I94" s="26"/>
    </x:row>
    <x:row r="95">
      <x:c r="A95" s="26"/>
      <x:c r="B95" s="26"/>
      <x:c r="C95" s="26"/>
      <x:c r="D95" s="26"/>
      <x:c r="E95" s="26"/>
      <x:c r="F95" s="26"/>
      <x:c r="G95" s="26"/>
      <x:c r="H95" s="32"/>
      <x:c r="I95" s="26"/>
    </x:row>
    <x:row r="96">
      <x:c r="A96" s="26"/>
      <x:c r="B96" s="26"/>
      <x:c r="C96" s="26"/>
      <x:c r="D96" s="26"/>
      <x:c r="E96" s="26"/>
      <x:c r="F96" s="26"/>
      <x:c r="G96" s="26"/>
      <x:c r="H96" s="32"/>
      <x:c r="I96" s="26"/>
    </x:row>
    <x:row r="97">
      <x:c r="A97" s="26"/>
      <x:c r="B97" s="26"/>
      <x:c r="C97" s="26"/>
      <x:c r="D97" s="26"/>
      <x:c r="E97" s="26"/>
      <x:c r="F97" s="26"/>
      <x:c r="G97" s="26"/>
      <x:c r="H97" s="32"/>
      <x:c r="I97" s="26"/>
    </x:row>
    <x:row r="98">
      <x:c r="A98" s="26"/>
      <x:c r="B98" s="26"/>
      <x:c r="C98" s="26"/>
      <x:c r="D98" s="26"/>
      <x:c r="E98" s="26"/>
      <x:c r="F98" s="26"/>
      <x:c r="G98" s="26"/>
      <x:c r="H98" s="32"/>
      <x:c r="I98" s="26"/>
    </x:row>
    <x:row r="99">
      <x:c r="A99" s="26"/>
      <x:c r="B99" s="26"/>
      <x:c r="C99" s="26"/>
      <x:c r="D99" s="26"/>
      <x:c r="E99" s="26"/>
      <x:c r="F99" s="26"/>
      <x:c r="G99" s="26"/>
      <x:c r="H99" s="32"/>
      <x:c r="I99" s="26"/>
    </x:row>
    <x:row r="100">
      <x:c r="A100" s="26"/>
      <x:c r="B100" s="26"/>
      <x:c r="C100" s="26"/>
      <x:c r="D100" s="26"/>
      <x:c r="E100" s="26"/>
      <x:c r="F100" s="26"/>
      <x:c r="G100" s="26"/>
      <x:c r="H100" s="32"/>
      <x:c r="I100" s="26"/>
    </x:row>
    <x:row r="101">
      <x:c r="A101" s="26"/>
      <x:c r="B101" s="26"/>
      <x:c r="C101" s="26"/>
      <x:c r="D101" s="26"/>
      <x:c r="E101" s="26"/>
      <x:c r="F101" s="26"/>
      <x:c r="G101" s="26"/>
      <x:c r="H101" s="32"/>
      <x:c r="I101" s="26"/>
    </x:row>
    <x:row r="102">
      <x:c r="A102" s="26"/>
      <x:c r="B102" s="26"/>
      <x:c r="C102" s="26"/>
      <x:c r="D102" s="26"/>
      <x:c r="E102" s="26"/>
      <x:c r="F102" s="26"/>
      <x:c r="G102" s="26"/>
      <x:c r="H102" s="32"/>
      <x:c r="I102" s="26"/>
    </x:row>
    <x:row r="103">
      <x:c r="A103" s="26"/>
      <x:c r="B103" s="26"/>
      <x:c r="C103" s="26"/>
      <x:c r="D103" s="26"/>
      <x:c r="E103" s="26"/>
      <x:c r="F103" s="26"/>
      <x:c r="G103" s="26"/>
      <x:c r="H103" s="32"/>
      <x:c r="I103" s="26"/>
    </x:row>
    <x:row r="104">
      <x:c r="A104" s="26"/>
      <x:c r="B104" s="26"/>
      <x:c r="C104" s="26"/>
      <x:c r="D104" s="26"/>
      <x:c r="E104" s="26"/>
      <x:c r="F104" s="26"/>
      <x:c r="G104" s="26"/>
      <x:c r="H104" s="32"/>
      <x:c r="I104" s="26"/>
    </x:row>
  </x:sheetData>
  <x:mergeCells>
    <x:mergeCell ref="A1:H1"/>
    <x:mergeCell ref="A2:H2"/>
  </x:mergeCells>
  <x:dataValidations count="3">
    <x:dataValidation type="list" sqref="B5:B104">
      <x:formula1>"Risk,Issue"</x:formula1>
    </x:dataValidation>
    <x:dataValidation type="list" sqref="C5:C104">
      <x:formula1>"High,Medium,Low"</x:formula1>
    </x:dataValidation>
    <x:dataValidation type="list" sqref="E5:E104">
      <x:formula1>"Open,Monitoring,Mitigated,Closed"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821841d0fb44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6" hidden="0" customWidth="1"/>
    <x:col min="4" max="4" width="18" hidden="0" customWidth="1"/>
    <x:col min="5" max="5" width="18" hidden="0" customWidth="1"/>
    <x:col min="6" max="6" width="16" hidden="0" customWidth="1"/>
    <x:col min="7" max="7" width="34" hidden="0" customWidth="1"/>
    <x:col min="8" max="8" width="16" hidden="0" customWidth="1"/>
    <x:col min="9" max="9" width="36" hidden="0" customWidth="1"/>
  </x:cols>
  <x:sheetData>
    <x:row r="1" ht="30" customHeight="1">
      <x:c r="A1" s="37" t="str">
        <x:v>Test / Demo Log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24" t="str">
        <x:v>Task Done olmadan önce ilgili test veya demo kanıtı buraya yazılsın.</x:v>
      </x:c>
      <x:c r="B2" s="23"/>
      <x:c r="C2" s="23"/>
      <x:c r="D2" s="23"/>
      <x:c r="E2" s="23"/>
      <x:c r="F2" s="23"/>
      <x:c r="G2" s="23"/>
      <x:c r="H2" s="23"/>
      <x:c r="I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25" t="str">
        <x:v>ID</x:v>
      </x:c>
      <x:c r="B4" s="25" t="str">
        <x:v>Date</x:v>
      </x:c>
      <x:c r="C4" s="25" t="str">
        <x:v>Scenario</x:v>
      </x:c>
      <x:c r="D4" s="25" t="str">
        <x:v>Owner</x:v>
      </x:c>
      <x:c r="E4" s="25" t="str">
        <x:v>Environment</x:v>
      </x:c>
      <x:c r="F4" s="25" t="str">
        <x:v>Result</x:v>
      </x:c>
      <x:c r="G4" s="25" t="str">
        <x:v>Evidence Link</x:v>
      </x:c>
      <x:c r="H4" s="25" t="str">
        <x:v>Bug / Task Link</x:v>
      </x:c>
      <x:c r="I4" s="25" t="str">
        <x:v>Notes</x:v>
      </x:c>
    </x:row>
    <x:row r="5">
      <x:c r="A5" s="26" t="str">
        <x:v>TD-001</x:v>
      </x:c>
      <x:c r="B5" s="32" t="n">
        <x:v>46206</x:v>
      </x:c>
      <x:c r="C5" s="26" t="str">
        <x:v>Full offline test suite</x:v>
      </x:c>
      <x:c r="D5" s="26" t="str">
        <x:v>Yagiz</x:v>
      </x:c>
      <x:c r="E5" s="26" t="str">
        <x:v>Local</x:v>
      </x:c>
      <x:c r="F5" s="26" t="str">
        <x:v>Pass</x:v>
      </x:c>
      <x:c r="G5" s="26" t="str">
        <x:v>uv run pytest</x:v>
      </x:c>
      <x:c r="H5" s="26" t="str">
        <x:v>T-001/T-002</x:v>
      </x:c>
      <x:c r="I5" s="26" t="str">
        <x:v>97 tests passing after .env loader.</x:v>
      </x:c>
    </x:row>
    <x:row r="6">
      <x:c r="A6" s="26" t="str">
        <x:v>TD-002</x:v>
      </x:c>
      <x:c r="B6" s="32" t="str"/>
      <x:c r="C6" s="26" t="str">
        <x:v>Live Gemini eval S33/S34</x:v>
      </x:c>
      <x:c r="D6" s="26" t="str">
        <x:v>Yagiz</x:v>
      </x:c>
      <x:c r="E6" s="26" t="str">
        <x:v>Local + Gemini</x:v>
      </x:c>
      <x:c r="F6" s="26" t="str">
        <x:v>Not Run</x:v>
      </x:c>
      <x:c r="G6" s="26" t="str"/>
      <x:c r="H6" s="26" t="str">
        <x:v>T-005</x:v>
      </x:c>
      <x:c r="I6" s="26" t="str">
        <x:v>Run after API key is added.</x:v>
      </x:c>
    </x:row>
    <x:row r="7">
      <x:c r="A7" s="26"/>
      <x:c r="B7" s="32"/>
      <x:c r="C7" s="26"/>
      <x:c r="D7" s="26"/>
      <x:c r="E7" s="26"/>
      <x:c r="F7" s="26"/>
      <x:c r="G7" s="26"/>
      <x:c r="H7" s="26"/>
      <x:c r="I7" s="26"/>
    </x:row>
    <x:row r="8">
      <x:c r="A8" s="26"/>
      <x:c r="B8" s="32"/>
      <x:c r="C8" s="26"/>
      <x:c r="D8" s="26"/>
      <x:c r="E8" s="26"/>
      <x:c r="F8" s="26"/>
      <x:c r="G8" s="26"/>
      <x:c r="H8" s="26"/>
      <x:c r="I8" s="26"/>
    </x:row>
    <x:row r="9">
      <x:c r="A9" s="26"/>
      <x:c r="B9" s="32"/>
      <x:c r="C9" s="26"/>
      <x:c r="D9" s="26"/>
      <x:c r="E9" s="26"/>
      <x:c r="F9" s="26"/>
      <x:c r="G9" s="26"/>
      <x:c r="H9" s="26"/>
      <x:c r="I9" s="26"/>
    </x:row>
    <x:row r="10">
      <x:c r="A10" s="26"/>
      <x:c r="B10" s="32"/>
      <x:c r="C10" s="26"/>
      <x:c r="D10" s="26"/>
      <x:c r="E10" s="26"/>
      <x:c r="F10" s="26"/>
      <x:c r="G10" s="26"/>
      <x:c r="H10" s="26"/>
      <x:c r="I10" s="26"/>
    </x:row>
    <x:row r="11">
      <x:c r="A11" s="26"/>
      <x:c r="B11" s="32"/>
      <x:c r="C11" s="26"/>
      <x:c r="D11" s="26"/>
      <x:c r="E11" s="26"/>
      <x:c r="F11" s="26"/>
      <x:c r="G11" s="26"/>
      <x:c r="H11" s="26"/>
      <x:c r="I11" s="26"/>
    </x:row>
    <x:row r="12">
      <x:c r="A12" s="26"/>
      <x:c r="B12" s="32"/>
      <x:c r="C12" s="26"/>
      <x:c r="D12" s="26"/>
      <x:c r="E12" s="26"/>
      <x:c r="F12" s="26"/>
      <x:c r="G12" s="26"/>
      <x:c r="H12" s="26"/>
      <x:c r="I12" s="26"/>
    </x:row>
    <x:row r="13">
      <x:c r="A13" s="26"/>
      <x:c r="B13" s="32"/>
      <x:c r="C13" s="26"/>
      <x:c r="D13" s="26"/>
      <x:c r="E13" s="26"/>
      <x:c r="F13" s="26"/>
      <x:c r="G13" s="26"/>
      <x:c r="H13" s="26"/>
      <x:c r="I13" s="26"/>
    </x:row>
    <x:row r="14">
      <x:c r="A14" s="26"/>
      <x:c r="B14" s="32"/>
      <x:c r="C14" s="26"/>
      <x:c r="D14" s="26"/>
      <x:c r="E14" s="26"/>
      <x:c r="F14" s="26"/>
      <x:c r="G14" s="26"/>
      <x:c r="H14" s="26"/>
      <x:c r="I14" s="26"/>
    </x:row>
    <x:row r="15">
      <x:c r="A15" s="26"/>
      <x:c r="B15" s="32"/>
      <x:c r="C15" s="26"/>
      <x:c r="D15" s="26"/>
      <x:c r="E15" s="26"/>
      <x:c r="F15" s="26"/>
      <x:c r="G15" s="26"/>
      <x:c r="H15" s="26"/>
      <x:c r="I15" s="26"/>
    </x:row>
    <x:row r="16">
      <x:c r="A16" s="26"/>
      <x:c r="B16" s="32"/>
      <x:c r="C16" s="26"/>
      <x:c r="D16" s="26"/>
      <x:c r="E16" s="26"/>
      <x:c r="F16" s="26"/>
      <x:c r="G16" s="26"/>
      <x:c r="H16" s="26"/>
      <x:c r="I16" s="26"/>
    </x:row>
    <x:row r="17">
      <x:c r="A17" s="26"/>
      <x:c r="B17" s="32"/>
      <x:c r="C17" s="26"/>
      <x:c r="D17" s="26"/>
      <x:c r="E17" s="26"/>
      <x:c r="F17" s="26"/>
      <x:c r="G17" s="26"/>
      <x:c r="H17" s="26"/>
      <x:c r="I17" s="26"/>
    </x:row>
    <x:row r="18">
      <x:c r="A18" s="26"/>
      <x:c r="B18" s="32"/>
      <x:c r="C18" s="26"/>
      <x:c r="D18" s="26"/>
      <x:c r="E18" s="26"/>
      <x:c r="F18" s="26"/>
      <x:c r="G18" s="26"/>
      <x:c r="H18" s="26"/>
      <x:c r="I18" s="26"/>
    </x:row>
    <x:row r="19">
      <x:c r="A19" s="26"/>
      <x:c r="B19" s="32"/>
      <x:c r="C19" s="26"/>
      <x:c r="D19" s="26"/>
      <x:c r="E19" s="26"/>
      <x:c r="F19" s="26"/>
      <x:c r="G19" s="26"/>
      <x:c r="H19" s="26"/>
      <x:c r="I19" s="26"/>
    </x:row>
    <x:row r="20">
      <x:c r="A20" s="26"/>
      <x:c r="B20" s="32"/>
      <x:c r="C20" s="26"/>
      <x:c r="D20" s="26"/>
      <x:c r="E20" s="26"/>
      <x:c r="F20" s="26"/>
      <x:c r="G20" s="26"/>
      <x:c r="H20" s="26"/>
      <x:c r="I20" s="26"/>
    </x:row>
    <x:row r="21">
      <x:c r="A21" s="26"/>
      <x:c r="B21" s="32"/>
      <x:c r="C21" s="26"/>
      <x:c r="D21" s="26"/>
      <x:c r="E21" s="26"/>
      <x:c r="F21" s="26"/>
      <x:c r="G21" s="26"/>
      <x:c r="H21" s="26"/>
      <x:c r="I21" s="26"/>
    </x:row>
    <x:row r="22">
      <x:c r="A22" s="26"/>
      <x:c r="B22" s="32"/>
      <x:c r="C22" s="26"/>
      <x:c r="D22" s="26"/>
      <x:c r="E22" s="26"/>
      <x:c r="F22" s="26"/>
      <x:c r="G22" s="26"/>
      <x:c r="H22" s="26"/>
      <x:c r="I22" s="26"/>
    </x:row>
    <x:row r="23">
      <x:c r="A23" s="26"/>
      <x:c r="B23" s="32"/>
      <x:c r="C23" s="26"/>
      <x:c r="D23" s="26"/>
      <x:c r="E23" s="26"/>
      <x:c r="F23" s="26"/>
      <x:c r="G23" s="26"/>
      <x:c r="H23" s="26"/>
      <x:c r="I23" s="26"/>
    </x:row>
    <x:row r="24">
      <x:c r="A24" s="26"/>
      <x:c r="B24" s="32"/>
      <x:c r="C24" s="26"/>
      <x:c r="D24" s="26"/>
      <x:c r="E24" s="26"/>
      <x:c r="F24" s="26"/>
      <x:c r="G24" s="26"/>
      <x:c r="H24" s="26"/>
      <x:c r="I24" s="26"/>
    </x:row>
    <x:row r="25">
      <x:c r="A25" s="26"/>
      <x:c r="B25" s="32"/>
      <x:c r="C25" s="26"/>
      <x:c r="D25" s="26"/>
      <x:c r="E25" s="26"/>
      <x:c r="F25" s="26"/>
      <x:c r="G25" s="26"/>
      <x:c r="H25" s="26"/>
      <x:c r="I25" s="26"/>
    </x:row>
    <x:row r="26">
      <x:c r="A26" s="26"/>
      <x:c r="B26" s="32"/>
      <x:c r="C26" s="26"/>
      <x:c r="D26" s="26"/>
      <x:c r="E26" s="26"/>
      <x:c r="F26" s="26"/>
      <x:c r="G26" s="26"/>
      <x:c r="H26" s="26"/>
      <x:c r="I26" s="26"/>
    </x:row>
    <x:row r="27">
      <x:c r="A27" s="26"/>
      <x:c r="B27" s="32"/>
      <x:c r="C27" s="26"/>
      <x:c r="D27" s="26"/>
      <x:c r="E27" s="26"/>
      <x:c r="F27" s="26"/>
      <x:c r="G27" s="26"/>
      <x:c r="H27" s="26"/>
      <x:c r="I27" s="26"/>
    </x:row>
    <x:row r="28">
      <x:c r="A28" s="26"/>
      <x:c r="B28" s="32"/>
      <x:c r="C28" s="26"/>
      <x:c r="D28" s="26"/>
      <x:c r="E28" s="26"/>
      <x:c r="F28" s="26"/>
      <x:c r="G28" s="26"/>
      <x:c r="H28" s="26"/>
      <x:c r="I28" s="26"/>
    </x:row>
    <x:row r="29">
      <x:c r="A29" s="26"/>
      <x:c r="B29" s="32"/>
      <x:c r="C29" s="26"/>
      <x:c r="D29" s="26"/>
      <x:c r="E29" s="26"/>
      <x:c r="F29" s="26"/>
      <x:c r="G29" s="26"/>
      <x:c r="H29" s="26"/>
      <x:c r="I29" s="26"/>
    </x:row>
    <x:row r="30">
      <x:c r="A30" s="26"/>
      <x:c r="B30" s="32"/>
      <x:c r="C30" s="26"/>
      <x:c r="D30" s="26"/>
      <x:c r="E30" s="26"/>
      <x:c r="F30" s="26"/>
      <x:c r="G30" s="26"/>
      <x:c r="H30" s="26"/>
      <x:c r="I30" s="26"/>
    </x:row>
    <x:row r="31">
      <x:c r="A31" s="26"/>
      <x:c r="B31" s="32"/>
      <x:c r="C31" s="26"/>
      <x:c r="D31" s="26"/>
      <x:c r="E31" s="26"/>
      <x:c r="F31" s="26"/>
      <x:c r="G31" s="26"/>
      <x:c r="H31" s="26"/>
      <x:c r="I31" s="26"/>
    </x:row>
    <x:row r="32">
      <x:c r="A32" s="26"/>
      <x:c r="B32" s="32"/>
      <x:c r="C32" s="26"/>
      <x:c r="D32" s="26"/>
      <x:c r="E32" s="26"/>
      <x:c r="F32" s="26"/>
      <x:c r="G32" s="26"/>
      <x:c r="H32" s="26"/>
      <x:c r="I32" s="26"/>
    </x:row>
    <x:row r="33">
      <x:c r="A33" s="26"/>
      <x:c r="B33" s="32"/>
      <x:c r="C33" s="26"/>
      <x:c r="D33" s="26"/>
      <x:c r="E33" s="26"/>
      <x:c r="F33" s="26"/>
      <x:c r="G33" s="26"/>
      <x:c r="H33" s="26"/>
      <x:c r="I33" s="26"/>
    </x:row>
    <x:row r="34">
      <x:c r="A34" s="26"/>
      <x:c r="B34" s="32"/>
      <x:c r="C34" s="26"/>
      <x:c r="D34" s="26"/>
      <x:c r="E34" s="26"/>
      <x:c r="F34" s="26"/>
      <x:c r="G34" s="26"/>
      <x:c r="H34" s="26"/>
      <x:c r="I34" s="26"/>
    </x:row>
    <x:row r="35">
      <x:c r="A35" s="26"/>
      <x:c r="B35" s="32"/>
      <x:c r="C35" s="26"/>
      <x:c r="D35" s="26"/>
      <x:c r="E35" s="26"/>
      <x:c r="F35" s="26"/>
      <x:c r="G35" s="26"/>
      <x:c r="H35" s="26"/>
      <x:c r="I35" s="26"/>
    </x:row>
    <x:row r="36">
      <x:c r="A36" s="26"/>
      <x:c r="B36" s="32"/>
      <x:c r="C36" s="26"/>
      <x:c r="D36" s="26"/>
      <x:c r="E36" s="26"/>
      <x:c r="F36" s="26"/>
      <x:c r="G36" s="26"/>
      <x:c r="H36" s="26"/>
      <x:c r="I36" s="26"/>
    </x:row>
    <x:row r="37">
      <x:c r="A37" s="26"/>
      <x:c r="B37" s="32"/>
      <x:c r="C37" s="26"/>
      <x:c r="D37" s="26"/>
      <x:c r="E37" s="26"/>
      <x:c r="F37" s="26"/>
      <x:c r="G37" s="26"/>
      <x:c r="H37" s="26"/>
      <x:c r="I37" s="26"/>
    </x:row>
    <x:row r="38">
      <x:c r="A38" s="26"/>
      <x:c r="B38" s="32"/>
      <x:c r="C38" s="26"/>
      <x:c r="D38" s="26"/>
      <x:c r="E38" s="26"/>
      <x:c r="F38" s="26"/>
      <x:c r="G38" s="26"/>
      <x:c r="H38" s="26"/>
      <x:c r="I38" s="26"/>
    </x:row>
    <x:row r="39">
      <x:c r="A39" s="26"/>
      <x:c r="B39" s="32"/>
      <x:c r="C39" s="26"/>
      <x:c r="D39" s="26"/>
      <x:c r="E39" s="26"/>
      <x:c r="F39" s="26"/>
      <x:c r="G39" s="26"/>
      <x:c r="H39" s="26"/>
      <x:c r="I39" s="26"/>
    </x:row>
    <x:row r="40">
      <x:c r="A40" s="26"/>
      <x:c r="B40" s="32"/>
      <x:c r="C40" s="26"/>
      <x:c r="D40" s="26"/>
      <x:c r="E40" s="26"/>
      <x:c r="F40" s="26"/>
      <x:c r="G40" s="26"/>
      <x:c r="H40" s="26"/>
      <x:c r="I40" s="26"/>
    </x:row>
    <x:row r="41">
      <x:c r="A41" s="26"/>
      <x:c r="B41" s="32"/>
      <x:c r="C41" s="26"/>
      <x:c r="D41" s="26"/>
      <x:c r="E41" s="26"/>
      <x:c r="F41" s="26"/>
      <x:c r="G41" s="26"/>
      <x:c r="H41" s="26"/>
      <x:c r="I41" s="26"/>
    </x:row>
    <x:row r="42">
      <x:c r="A42" s="26"/>
      <x:c r="B42" s="32"/>
      <x:c r="C42" s="26"/>
      <x:c r="D42" s="26"/>
      <x:c r="E42" s="26"/>
      <x:c r="F42" s="26"/>
      <x:c r="G42" s="26"/>
      <x:c r="H42" s="26"/>
      <x:c r="I42" s="26"/>
    </x:row>
    <x:row r="43">
      <x:c r="A43" s="26"/>
      <x:c r="B43" s="32"/>
      <x:c r="C43" s="26"/>
      <x:c r="D43" s="26"/>
      <x:c r="E43" s="26"/>
      <x:c r="F43" s="26"/>
      <x:c r="G43" s="26"/>
      <x:c r="H43" s="26"/>
      <x:c r="I43" s="26"/>
    </x:row>
    <x:row r="44">
      <x:c r="A44" s="26"/>
      <x:c r="B44" s="32"/>
      <x:c r="C44" s="26"/>
      <x:c r="D44" s="26"/>
      <x:c r="E44" s="26"/>
      <x:c r="F44" s="26"/>
      <x:c r="G44" s="26"/>
      <x:c r="H44" s="26"/>
      <x:c r="I44" s="26"/>
    </x:row>
    <x:row r="45">
      <x:c r="A45" s="26"/>
      <x:c r="B45" s="32"/>
      <x:c r="C45" s="26"/>
      <x:c r="D45" s="26"/>
      <x:c r="E45" s="26"/>
      <x:c r="F45" s="26"/>
      <x:c r="G45" s="26"/>
      <x:c r="H45" s="26"/>
      <x:c r="I45" s="26"/>
    </x:row>
    <x:row r="46">
      <x:c r="A46" s="26"/>
      <x:c r="B46" s="32"/>
      <x:c r="C46" s="26"/>
      <x:c r="D46" s="26"/>
      <x:c r="E46" s="26"/>
      <x:c r="F46" s="26"/>
      <x:c r="G46" s="26"/>
      <x:c r="H46" s="26"/>
      <x:c r="I46" s="26"/>
    </x:row>
    <x:row r="47">
      <x:c r="A47" s="26"/>
      <x:c r="B47" s="32"/>
      <x:c r="C47" s="26"/>
      <x:c r="D47" s="26"/>
      <x:c r="E47" s="26"/>
      <x:c r="F47" s="26"/>
      <x:c r="G47" s="26"/>
      <x:c r="H47" s="26"/>
      <x:c r="I47" s="26"/>
    </x:row>
    <x:row r="48">
      <x:c r="A48" s="26"/>
      <x:c r="B48" s="32"/>
      <x:c r="C48" s="26"/>
      <x:c r="D48" s="26"/>
      <x:c r="E48" s="26"/>
      <x:c r="F48" s="26"/>
      <x:c r="G48" s="26"/>
      <x:c r="H48" s="26"/>
      <x:c r="I48" s="26"/>
    </x:row>
    <x:row r="49">
      <x:c r="A49" s="26"/>
      <x:c r="B49" s="32"/>
      <x:c r="C49" s="26"/>
      <x:c r="D49" s="26"/>
      <x:c r="E49" s="26"/>
      <x:c r="F49" s="26"/>
      <x:c r="G49" s="26"/>
      <x:c r="H49" s="26"/>
      <x:c r="I49" s="26"/>
    </x:row>
    <x:row r="50">
      <x:c r="A50" s="26"/>
      <x:c r="B50" s="32"/>
      <x:c r="C50" s="26"/>
      <x:c r="D50" s="26"/>
      <x:c r="E50" s="26"/>
      <x:c r="F50" s="26"/>
      <x:c r="G50" s="26"/>
      <x:c r="H50" s="26"/>
      <x:c r="I50" s="26"/>
    </x:row>
    <x:row r="51">
      <x:c r="A51" s="26"/>
      <x:c r="B51" s="32"/>
      <x:c r="C51" s="26"/>
      <x:c r="D51" s="26"/>
      <x:c r="E51" s="26"/>
      <x:c r="F51" s="26"/>
      <x:c r="G51" s="26"/>
      <x:c r="H51" s="26"/>
      <x:c r="I51" s="26"/>
    </x:row>
    <x:row r="52">
      <x:c r="A52" s="26"/>
      <x:c r="B52" s="32"/>
      <x:c r="C52" s="26"/>
      <x:c r="D52" s="26"/>
      <x:c r="E52" s="26"/>
      <x:c r="F52" s="26"/>
      <x:c r="G52" s="26"/>
      <x:c r="H52" s="26"/>
      <x:c r="I52" s="26"/>
    </x:row>
    <x:row r="53">
      <x:c r="A53" s="26"/>
      <x:c r="B53" s="32"/>
      <x:c r="C53" s="26"/>
      <x:c r="D53" s="26"/>
      <x:c r="E53" s="26"/>
      <x:c r="F53" s="26"/>
      <x:c r="G53" s="26"/>
      <x:c r="H53" s="26"/>
      <x:c r="I53" s="26"/>
    </x:row>
    <x:row r="54">
      <x:c r="A54" s="26"/>
      <x:c r="B54" s="32"/>
      <x:c r="C54" s="26"/>
      <x:c r="D54" s="26"/>
      <x:c r="E54" s="26"/>
      <x:c r="F54" s="26"/>
      <x:c r="G54" s="26"/>
      <x:c r="H54" s="26"/>
      <x:c r="I54" s="26"/>
    </x:row>
    <x:row r="55">
      <x:c r="A55" s="26"/>
      <x:c r="B55" s="32"/>
      <x:c r="C55" s="26"/>
      <x:c r="D55" s="26"/>
      <x:c r="E55" s="26"/>
      <x:c r="F55" s="26"/>
      <x:c r="G55" s="26"/>
      <x:c r="H55" s="26"/>
      <x:c r="I55" s="26"/>
    </x:row>
    <x:row r="56">
      <x:c r="A56" s="26"/>
      <x:c r="B56" s="32"/>
      <x:c r="C56" s="26"/>
      <x:c r="D56" s="26"/>
      <x:c r="E56" s="26"/>
      <x:c r="F56" s="26"/>
      <x:c r="G56" s="26"/>
      <x:c r="H56" s="26"/>
      <x:c r="I56" s="26"/>
    </x:row>
    <x:row r="57">
      <x:c r="A57" s="26"/>
      <x:c r="B57" s="32"/>
      <x:c r="C57" s="26"/>
      <x:c r="D57" s="26"/>
      <x:c r="E57" s="26"/>
      <x:c r="F57" s="26"/>
      <x:c r="G57" s="26"/>
      <x:c r="H57" s="26"/>
      <x:c r="I57" s="26"/>
    </x:row>
    <x:row r="58">
      <x:c r="A58" s="26"/>
      <x:c r="B58" s="32"/>
      <x:c r="C58" s="26"/>
      <x:c r="D58" s="26"/>
      <x:c r="E58" s="26"/>
      <x:c r="F58" s="26"/>
      <x:c r="G58" s="26"/>
      <x:c r="H58" s="26"/>
      <x:c r="I58" s="26"/>
    </x:row>
    <x:row r="59">
      <x:c r="A59" s="26"/>
      <x:c r="B59" s="32"/>
      <x:c r="C59" s="26"/>
      <x:c r="D59" s="26"/>
      <x:c r="E59" s="26"/>
      <x:c r="F59" s="26"/>
      <x:c r="G59" s="26"/>
      <x:c r="H59" s="26"/>
      <x:c r="I59" s="26"/>
    </x:row>
    <x:row r="60">
      <x:c r="A60" s="26"/>
      <x:c r="B60" s="32"/>
      <x:c r="C60" s="26"/>
      <x:c r="D60" s="26"/>
      <x:c r="E60" s="26"/>
      <x:c r="F60" s="26"/>
      <x:c r="G60" s="26"/>
      <x:c r="H60" s="26"/>
      <x:c r="I60" s="26"/>
    </x:row>
    <x:row r="61">
      <x:c r="A61" s="26"/>
      <x:c r="B61" s="32"/>
      <x:c r="C61" s="26"/>
      <x:c r="D61" s="26"/>
      <x:c r="E61" s="26"/>
      <x:c r="F61" s="26"/>
      <x:c r="G61" s="26"/>
      <x:c r="H61" s="26"/>
      <x:c r="I61" s="26"/>
    </x:row>
    <x:row r="62">
      <x:c r="A62" s="26"/>
      <x:c r="B62" s="32"/>
      <x:c r="C62" s="26"/>
      <x:c r="D62" s="26"/>
      <x:c r="E62" s="26"/>
      <x:c r="F62" s="26"/>
      <x:c r="G62" s="26"/>
      <x:c r="H62" s="26"/>
      <x:c r="I62" s="26"/>
    </x:row>
    <x:row r="63">
      <x:c r="A63" s="26"/>
      <x:c r="B63" s="32"/>
      <x:c r="C63" s="26"/>
      <x:c r="D63" s="26"/>
      <x:c r="E63" s="26"/>
      <x:c r="F63" s="26"/>
      <x:c r="G63" s="26"/>
      <x:c r="H63" s="26"/>
      <x:c r="I63" s="26"/>
    </x:row>
    <x:row r="64">
      <x:c r="A64" s="26"/>
      <x:c r="B64" s="32"/>
      <x:c r="C64" s="26"/>
      <x:c r="D64" s="26"/>
      <x:c r="E64" s="26"/>
      <x:c r="F64" s="26"/>
      <x:c r="G64" s="26"/>
      <x:c r="H64" s="26"/>
      <x:c r="I64" s="26"/>
    </x:row>
    <x:row r="65">
      <x:c r="A65" s="26"/>
      <x:c r="B65" s="32"/>
      <x:c r="C65" s="26"/>
      <x:c r="D65" s="26"/>
      <x:c r="E65" s="26"/>
      <x:c r="F65" s="26"/>
      <x:c r="G65" s="26"/>
      <x:c r="H65" s="26"/>
      <x:c r="I65" s="26"/>
    </x:row>
    <x:row r="66">
      <x:c r="A66" s="26"/>
      <x:c r="B66" s="32"/>
      <x:c r="C66" s="26"/>
      <x:c r="D66" s="26"/>
      <x:c r="E66" s="26"/>
      <x:c r="F66" s="26"/>
      <x:c r="G66" s="26"/>
      <x:c r="H66" s="26"/>
      <x:c r="I66" s="26"/>
    </x:row>
    <x:row r="67">
      <x:c r="A67" s="26"/>
      <x:c r="B67" s="32"/>
      <x:c r="C67" s="26"/>
      <x:c r="D67" s="26"/>
      <x:c r="E67" s="26"/>
      <x:c r="F67" s="26"/>
      <x:c r="G67" s="26"/>
      <x:c r="H67" s="26"/>
      <x:c r="I67" s="26"/>
    </x:row>
    <x:row r="68">
      <x:c r="A68" s="26"/>
      <x:c r="B68" s="32"/>
      <x:c r="C68" s="26"/>
      <x:c r="D68" s="26"/>
      <x:c r="E68" s="26"/>
      <x:c r="F68" s="26"/>
      <x:c r="G68" s="26"/>
      <x:c r="H68" s="26"/>
      <x:c r="I68" s="26"/>
    </x:row>
    <x:row r="69">
      <x:c r="A69" s="26"/>
      <x:c r="B69" s="32"/>
      <x:c r="C69" s="26"/>
      <x:c r="D69" s="26"/>
      <x:c r="E69" s="26"/>
      <x:c r="F69" s="26"/>
      <x:c r="G69" s="26"/>
      <x:c r="H69" s="26"/>
      <x:c r="I69" s="26"/>
    </x:row>
    <x:row r="70">
      <x:c r="A70" s="26"/>
      <x:c r="B70" s="32"/>
      <x:c r="C70" s="26"/>
      <x:c r="D70" s="26"/>
      <x:c r="E70" s="26"/>
      <x:c r="F70" s="26"/>
      <x:c r="G70" s="26"/>
      <x:c r="H70" s="26"/>
      <x:c r="I70" s="26"/>
    </x:row>
    <x:row r="71">
      <x:c r="A71" s="26"/>
      <x:c r="B71" s="32"/>
      <x:c r="C71" s="26"/>
      <x:c r="D71" s="26"/>
      <x:c r="E71" s="26"/>
      <x:c r="F71" s="26"/>
      <x:c r="G71" s="26"/>
      <x:c r="H71" s="26"/>
      <x:c r="I71" s="26"/>
    </x:row>
    <x:row r="72">
      <x:c r="A72" s="26"/>
      <x:c r="B72" s="32"/>
      <x:c r="C72" s="26"/>
      <x:c r="D72" s="26"/>
      <x:c r="E72" s="26"/>
      <x:c r="F72" s="26"/>
      <x:c r="G72" s="26"/>
      <x:c r="H72" s="26"/>
      <x:c r="I72" s="26"/>
    </x:row>
    <x:row r="73">
      <x:c r="A73" s="26"/>
      <x:c r="B73" s="32"/>
      <x:c r="C73" s="26"/>
      <x:c r="D73" s="26"/>
      <x:c r="E73" s="26"/>
      <x:c r="F73" s="26"/>
      <x:c r="G73" s="26"/>
      <x:c r="H73" s="26"/>
      <x:c r="I73" s="26"/>
    </x:row>
    <x:row r="74">
      <x:c r="A74" s="26"/>
      <x:c r="B74" s="32"/>
      <x:c r="C74" s="26"/>
      <x:c r="D74" s="26"/>
      <x:c r="E74" s="26"/>
      <x:c r="F74" s="26"/>
      <x:c r="G74" s="26"/>
      <x:c r="H74" s="26"/>
      <x:c r="I74" s="26"/>
    </x:row>
    <x:row r="75">
      <x:c r="A75" s="26"/>
      <x:c r="B75" s="32"/>
      <x:c r="C75" s="26"/>
      <x:c r="D75" s="26"/>
      <x:c r="E75" s="26"/>
      <x:c r="F75" s="26"/>
      <x:c r="G75" s="26"/>
      <x:c r="H75" s="26"/>
      <x:c r="I75" s="26"/>
    </x:row>
    <x:row r="76">
      <x:c r="A76" s="26"/>
      <x:c r="B76" s="32"/>
      <x:c r="C76" s="26"/>
      <x:c r="D76" s="26"/>
      <x:c r="E76" s="26"/>
      <x:c r="F76" s="26"/>
      <x:c r="G76" s="26"/>
      <x:c r="H76" s="26"/>
      <x:c r="I76" s="26"/>
    </x:row>
    <x:row r="77">
      <x:c r="A77" s="26"/>
      <x:c r="B77" s="32"/>
      <x:c r="C77" s="26"/>
      <x:c r="D77" s="26"/>
      <x:c r="E77" s="26"/>
      <x:c r="F77" s="26"/>
      <x:c r="G77" s="26"/>
      <x:c r="H77" s="26"/>
      <x:c r="I77" s="26"/>
    </x:row>
    <x:row r="78">
      <x:c r="A78" s="26"/>
      <x:c r="B78" s="32"/>
      <x:c r="C78" s="26"/>
      <x:c r="D78" s="26"/>
      <x:c r="E78" s="26"/>
      <x:c r="F78" s="26"/>
      <x:c r="G78" s="26"/>
      <x:c r="H78" s="26"/>
      <x:c r="I78" s="26"/>
    </x:row>
    <x:row r="79">
      <x:c r="A79" s="26"/>
      <x:c r="B79" s="32"/>
      <x:c r="C79" s="26"/>
      <x:c r="D79" s="26"/>
      <x:c r="E79" s="26"/>
      <x:c r="F79" s="26"/>
      <x:c r="G79" s="26"/>
      <x:c r="H79" s="26"/>
      <x:c r="I79" s="26"/>
    </x:row>
    <x:row r="80">
      <x:c r="A80" s="26"/>
      <x:c r="B80" s="32"/>
      <x:c r="C80" s="26"/>
      <x:c r="D80" s="26"/>
      <x:c r="E80" s="26"/>
      <x:c r="F80" s="26"/>
      <x:c r="G80" s="26"/>
      <x:c r="H80" s="26"/>
      <x:c r="I80" s="26"/>
    </x:row>
    <x:row r="81">
      <x:c r="A81" s="26"/>
      <x:c r="B81" s="32"/>
      <x:c r="C81" s="26"/>
      <x:c r="D81" s="26"/>
      <x:c r="E81" s="26"/>
      <x:c r="F81" s="26"/>
      <x:c r="G81" s="26"/>
      <x:c r="H81" s="26"/>
      <x:c r="I81" s="26"/>
    </x:row>
    <x:row r="82">
      <x:c r="A82" s="26"/>
      <x:c r="B82" s="32"/>
      <x:c r="C82" s="26"/>
      <x:c r="D82" s="26"/>
      <x:c r="E82" s="26"/>
      <x:c r="F82" s="26"/>
      <x:c r="G82" s="26"/>
      <x:c r="H82" s="26"/>
      <x:c r="I82" s="26"/>
    </x:row>
    <x:row r="83">
      <x:c r="A83" s="26"/>
      <x:c r="B83" s="32"/>
      <x:c r="C83" s="26"/>
      <x:c r="D83" s="26"/>
      <x:c r="E83" s="26"/>
      <x:c r="F83" s="26"/>
      <x:c r="G83" s="26"/>
      <x:c r="H83" s="26"/>
      <x:c r="I83" s="26"/>
    </x:row>
    <x:row r="84">
      <x:c r="A84" s="26"/>
      <x:c r="B84" s="32"/>
      <x:c r="C84" s="26"/>
      <x:c r="D84" s="26"/>
      <x:c r="E84" s="26"/>
      <x:c r="F84" s="26"/>
      <x:c r="G84" s="26"/>
      <x:c r="H84" s="26"/>
      <x:c r="I84" s="26"/>
    </x:row>
    <x:row r="85">
      <x:c r="A85" s="26"/>
      <x:c r="B85" s="32"/>
      <x:c r="C85" s="26"/>
      <x:c r="D85" s="26"/>
      <x:c r="E85" s="26"/>
      <x:c r="F85" s="26"/>
      <x:c r="G85" s="26"/>
      <x:c r="H85" s="26"/>
      <x:c r="I85" s="26"/>
    </x:row>
    <x:row r="86">
      <x:c r="A86" s="26"/>
      <x:c r="B86" s="32"/>
      <x:c r="C86" s="26"/>
      <x:c r="D86" s="26"/>
      <x:c r="E86" s="26"/>
      <x:c r="F86" s="26"/>
      <x:c r="G86" s="26"/>
      <x:c r="H86" s="26"/>
      <x:c r="I86" s="26"/>
    </x:row>
    <x:row r="87">
      <x:c r="A87" s="26"/>
      <x:c r="B87" s="32"/>
      <x:c r="C87" s="26"/>
      <x:c r="D87" s="26"/>
      <x:c r="E87" s="26"/>
      <x:c r="F87" s="26"/>
      <x:c r="G87" s="26"/>
      <x:c r="H87" s="26"/>
      <x:c r="I87" s="26"/>
    </x:row>
    <x:row r="88">
      <x:c r="A88" s="26"/>
      <x:c r="B88" s="32"/>
      <x:c r="C88" s="26"/>
      <x:c r="D88" s="26"/>
      <x:c r="E88" s="26"/>
      <x:c r="F88" s="26"/>
      <x:c r="G88" s="26"/>
      <x:c r="H88" s="26"/>
      <x:c r="I88" s="26"/>
    </x:row>
    <x:row r="89">
      <x:c r="A89" s="26"/>
      <x:c r="B89" s="32"/>
      <x:c r="C89" s="26"/>
      <x:c r="D89" s="26"/>
      <x:c r="E89" s="26"/>
      <x:c r="F89" s="26"/>
      <x:c r="G89" s="26"/>
      <x:c r="H89" s="26"/>
      <x:c r="I89" s="26"/>
    </x:row>
    <x:row r="90">
      <x:c r="A90" s="26"/>
      <x:c r="B90" s="32"/>
      <x:c r="C90" s="26"/>
      <x:c r="D90" s="26"/>
      <x:c r="E90" s="26"/>
      <x:c r="F90" s="26"/>
      <x:c r="G90" s="26"/>
      <x:c r="H90" s="26"/>
      <x:c r="I90" s="26"/>
    </x:row>
    <x:row r="91">
      <x:c r="A91" s="26"/>
      <x:c r="B91" s="32"/>
      <x:c r="C91" s="26"/>
      <x:c r="D91" s="26"/>
      <x:c r="E91" s="26"/>
      <x:c r="F91" s="26"/>
      <x:c r="G91" s="26"/>
      <x:c r="H91" s="26"/>
      <x:c r="I91" s="26"/>
    </x:row>
    <x:row r="92">
      <x:c r="A92" s="26"/>
      <x:c r="B92" s="32"/>
      <x:c r="C92" s="26"/>
      <x:c r="D92" s="26"/>
      <x:c r="E92" s="26"/>
      <x:c r="F92" s="26"/>
      <x:c r="G92" s="26"/>
      <x:c r="H92" s="26"/>
      <x:c r="I92" s="26"/>
    </x:row>
    <x:row r="93">
      <x:c r="A93" s="26"/>
      <x:c r="B93" s="32"/>
      <x:c r="C93" s="26"/>
      <x:c r="D93" s="26"/>
      <x:c r="E93" s="26"/>
      <x:c r="F93" s="26"/>
      <x:c r="G93" s="26"/>
      <x:c r="H93" s="26"/>
      <x:c r="I93" s="26"/>
    </x:row>
    <x:row r="94">
      <x:c r="A94" s="26"/>
      <x:c r="B94" s="32"/>
      <x:c r="C94" s="26"/>
      <x:c r="D94" s="26"/>
      <x:c r="E94" s="26"/>
      <x:c r="F94" s="26"/>
      <x:c r="G94" s="26"/>
      <x:c r="H94" s="26"/>
      <x:c r="I94" s="26"/>
    </x:row>
    <x:row r="95">
      <x:c r="A95" s="26"/>
      <x:c r="B95" s="32"/>
      <x:c r="C95" s="26"/>
      <x:c r="D95" s="26"/>
      <x:c r="E95" s="26"/>
      <x:c r="F95" s="26"/>
      <x:c r="G95" s="26"/>
      <x:c r="H95" s="26"/>
      <x:c r="I95" s="26"/>
    </x:row>
    <x:row r="96">
      <x:c r="A96" s="26"/>
      <x:c r="B96" s="32"/>
      <x:c r="C96" s="26"/>
      <x:c r="D96" s="26"/>
      <x:c r="E96" s="26"/>
      <x:c r="F96" s="26"/>
      <x:c r="G96" s="26"/>
      <x:c r="H96" s="26"/>
      <x:c r="I96" s="26"/>
    </x:row>
    <x:row r="97">
      <x:c r="A97" s="26"/>
      <x:c r="B97" s="32"/>
      <x:c r="C97" s="26"/>
      <x:c r="D97" s="26"/>
      <x:c r="E97" s="26"/>
      <x:c r="F97" s="26"/>
      <x:c r="G97" s="26"/>
      <x:c r="H97" s="26"/>
      <x:c r="I97" s="26"/>
    </x:row>
    <x:row r="98">
      <x:c r="A98" s="26"/>
      <x:c r="B98" s="32"/>
      <x:c r="C98" s="26"/>
      <x:c r="D98" s="26"/>
      <x:c r="E98" s="26"/>
      <x:c r="F98" s="26"/>
      <x:c r="G98" s="26"/>
      <x:c r="H98" s="26"/>
      <x:c r="I98" s="26"/>
    </x:row>
    <x:row r="99">
      <x:c r="A99" s="26"/>
      <x:c r="B99" s="32"/>
      <x:c r="C99" s="26"/>
      <x:c r="D99" s="26"/>
      <x:c r="E99" s="26"/>
      <x:c r="F99" s="26"/>
      <x:c r="G99" s="26"/>
      <x:c r="H99" s="26"/>
      <x:c r="I99" s="26"/>
    </x:row>
    <x:row r="100">
      <x:c r="A100" s="26"/>
      <x:c r="B100" s="32"/>
      <x:c r="C100" s="26"/>
      <x:c r="D100" s="26"/>
      <x:c r="E100" s="26"/>
      <x:c r="F100" s="26"/>
      <x:c r="G100" s="26"/>
      <x:c r="H100" s="26"/>
      <x:c r="I100" s="26"/>
    </x:row>
    <x:row r="101">
      <x:c r="A101" s="26"/>
      <x:c r="B101" s="32"/>
      <x:c r="C101" s="26"/>
      <x:c r="D101" s="26"/>
      <x:c r="E101" s="26"/>
      <x:c r="F101" s="26"/>
      <x:c r="G101" s="26"/>
      <x:c r="H101" s="26"/>
      <x:c r="I101" s="26"/>
    </x:row>
    <x:row r="102">
      <x:c r="A102" s="26"/>
      <x:c r="B102" s="32"/>
      <x:c r="C102" s="26"/>
      <x:c r="D102" s="26"/>
      <x:c r="E102" s="26"/>
      <x:c r="F102" s="26"/>
      <x:c r="G102" s="26"/>
      <x:c r="H102" s="26"/>
      <x:c r="I102" s="26"/>
    </x:row>
    <x:row r="103">
      <x:c r="A103" s="26"/>
      <x:c r="B103" s="32"/>
      <x:c r="C103" s="26"/>
      <x:c r="D103" s="26"/>
      <x:c r="E103" s="26"/>
      <x:c r="F103" s="26"/>
      <x:c r="G103" s="26"/>
      <x:c r="H103" s="26"/>
      <x:c r="I103" s="26"/>
    </x:row>
    <x:row r="104">
      <x:c r="A104" s="26"/>
      <x:c r="B104" s="32"/>
      <x:c r="C104" s="26"/>
      <x:c r="D104" s="26"/>
      <x:c r="E104" s="26"/>
      <x:c r="F104" s="26"/>
      <x:c r="G104" s="26"/>
      <x:c r="H104" s="26"/>
      <x:c r="I104" s="26"/>
    </x:row>
  </x:sheetData>
  <x:mergeCells>
    <x:mergeCell ref="A1:H1"/>
    <x:mergeCell ref="A2:H2"/>
  </x:mergeCells>
  <x:dataValidations count="1">
    <x:dataValidation type="list" sqref="F5:F104">
      <x:formula1>"Not Run,Pass,Fail,Partial,Ready for Demo"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37f84a114a47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8" hidden="0" customWidth="1"/>
  </x:cols>
  <x:sheetData>
    <x:row r="1" ht="30" customHeight="1">
      <x:c r="A1" s="37" t="str">
        <x:v>Definition of Done</x:v>
      </x:c>
      <x:c r="B1" s="23"/>
      <x:c r="C1" s="23"/>
    </x:row>
    <x:row r="2">
      <x:c r="A2" s="24" t="str">
        <x:v>Task Done demeden önce minimum kabul kriterleri. Gerekiyorsa projeye göre değiştirin.</x:v>
      </x:c>
      <x:c r="B2" s="23"/>
      <x:c r="C2" s="23"/>
    </x:row>
    <x:row r="3">
      <x:c r="A3" s="23"/>
      <x:c r="B3" s="23"/>
      <x:c r="C3" s="23"/>
    </x:row>
    <x:row r="4">
      <x:c r="A4" s="25" t="str">
        <x:v>Area</x:v>
      </x:c>
      <x:c r="B4" s="25" t="str">
        <x:v>Checklist Item</x:v>
      </x:c>
      <x:c r="C4" s="25" t="str">
        <x:v>Required?</x:v>
      </x:c>
    </x:row>
    <x:row r="5">
      <x:c r="A5" s="26" t="str">
        <x:v>Code</x:v>
      </x:c>
      <x:c r="B5" s="26" t="str">
        <x:v>Implementation is committed in the correct project folder and unrelated files are not changed.</x:v>
      </x:c>
      <x:c r="C5" s="26" t="str">
        <x:v>Yes</x:v>
      </x:c>
    </x:row>
    <x:row r="6">
      <x:c r="A6" s="26" t="str">
        <x:v>Tests</x:v>
      </x:c>
      <x:c r="B6" s="26" t="str">
        <x:v>Relevant focused tests pass; if code changes are broad, full `uv run pytest` passes.</x:v>
      </x:c>
      <x:c r="C6" s="26" t="str">
        <x:v>Yes</x:v>
      </x:c>
    </x:row>
    <x:row r="7">
      <x:c r="A7" s="26" t="str">
        <x:v>GIS Correctness</x:v>
      </x:c>
      <x:c r="B7" s="26" t="str">
        <x:v>Metric operations use projected metric CRS; no buffer/area/length in EPSG:4326.</x:v>
      </x:c>
      <x:c r="C7" s="26" t="str">
        <x:v>Yes</x:v>
      </x:c>
    </x:row>
    <x:row r="8">
      <x:c r="A8" s="26" t="str">
        <x:v>Traceability</x:v>
      </x:c>
      <x:c r="B8" s="26" t="str">
        <x:v>Important decisions, blockers, and results are reflected in this workbook or HANDOFF.md.</x:v>
      </x:c>
      <x:c r="C8" s="26" t="str">
        <x:v>Yes</x:v>
      </x:c>
    </x:row>
    <x:row r="9">
      <x:c r="A9" s="26" t="str">
        <x:v>Demo</x:v>
      </x:c>
      <x:c r="B9" s="26" t="str">
        <x:v>User-facing change has a short demo path or screenshot/test evidence.</x:v>
      </x:c>
      <x:c r="C9" s="26" t="str">
        <x:v>If applicable</x:v>
      </x:c>
    </x:row>
    <x:row r="10">
      <x:c r="A10" s="26" t="str">
        <x:v>Docs</x:v>
      </x:c>
      <x:c r="B10" s="26" t="str">
        <x:v>README/HANDOFF/AGENTS are updated when state or next steps change.</x:v>
      </x:c>
      <x:c r="C10" s="26" t="str">
        <x:v>If applicable</x:v>
      </x:c>
    </x:row>
  </x:sheetData>
  <x:mergeCells>
    <x:mergeCell ref="A1:H1"/>
    <x:mergeCell ref="A2:H2"/>
  </x:mergeCells>
  <x:dataValidations count="1">
    <x:dataValidation type="list" sqref="C5:C20">
      <x:formula1>"Yes,No,If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af4df0881b44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7" t="str">
        <x:v>Lists</x:v>
      </x:c>
      <x:c r="B1" s="23"/>
      <x:c r="C1" s="23"/>
      <x:c r="D1" s="23"/>
      <x:c r="E1" s="23"/>
      <x:c r="F1" s="23"/>
    </x:row>
    <x:row r="2">
      <x:c r="A2" s="24" t="str">
        <x:v>Dropdown seçenekleri için referans. İsterseniz buradaki kelimeleri güncelleyip kolon validasyonlarını da uyarlayabilirsiniz.</x:v>
      </x:c>
      <x:c r="B2" s="23"/>
      <x:c r="C2" s="23"/>
      <x:c r="D2" s="23"/>
      <x:c r="E2" s="23"/>
      <x:c r="F2" s="23"/>
    </x:row>
    <x:row r="3">
      <x:c r="A3" s="23"/>
      <x:c r="B3" s="23"/>
      <x:c r="C3" s="23"/>
      <x:c r="D3" s="23"/>
      <x:c r="E3" s="23"/>
      <x:c r="F3" s="23"/>
    </x:row>
    <x:row r="4">
      <x:c r="A4" s="25" t="str">
        <x:v>Status</x:v>
      </x:c>
      <x:c r="B4" s="25" t="str">
        <x:v>Priority</x:v>
      </x:c>
      <x:c r="C4" s="25" t="str">
        <x:v>Success?</x:v>
      </x:c>
      <x:c r="D4" s="25" t="str">
        <x:v>Risk Severity</x:v>
      </x:c>
      <x:c r="E4" s="25" t="str">
        <x:v>Test Result</x:v>
      </x:c>
      <x:c r="F4" s="25" t="str">
        <x:v>Health</x:v>
      </x:c>
    </x:row>
    <x:row r="5">
      <x:c r="A5" s="26" t="str">
        <x:v>Backlog</x:v>
      </x:c>
      <x:c r="B5" s="26" t="str">
        <x:v>P0</x:v>
      </x:c>
      <x:c r="C5" s="26" t="str">
        <x:v>TBD</x:v>
      </x:c>
      <x:c r="D5" s="26" t="str">
        <x:v>High</x:v>
      </x:c>
      <x:c r="E5" s="26" t="str">
        <x:v>Not Run</x:v>
      </x:c>
      <x:c r="F5" s="26" t="str">
        <x:v>Green</x:v>
      </x:c>
    </x:row>
    <x:row r="6">
      <x:c r="A6" s="26" t="str">
        <x:v>Ready</x:v>
      </x:c>
      <x:c r="B6" s="26" t="str">
        <x:v>P1</x:v>
      </x:c>
      <x:c r="C6" s="26" t="str">
        <x:v>Success</x:v>
      </x:c>
      <x:c r="D6" s="26" t="str">
        <x:v>Medium</x:v>
      </x:c>
      <x:c r="E6" s="26" t="str">
        <x:v>Pass</x:v>
      </x:c>
      <x:c r="F6" s="26" t="str">
        <x:v>Yellow</x:v>
      </x:c>
    </x:row>
    <x:row r="7">
      <x:c r="A7" s="26" t="str">
        <x:v>In Progress</x:v>
      </x:c>
      <x:c r="B7" s="26" t="str">
        <x:v>P2</x:v>
      </x:c>
      <x:c r="C7" s="26" t="str">
        <x:v>Partial</x:v>
      </x:c>
      <x:c r="D7" s="26" t="str">
        <x:v>Low</x:v>
      </x:c>
      <x:c r="E7" s="26" t="str">
        <x:v>Fail</x:v>
      </x:c>
      <x:c r="F7" s="26" t="str">
        <x:v>Red</x:v>
      </x:c>
    </x:row>
    <x:row r="8">
      <x:c r="A8" s="26" t="str">
        <x:v>Review</x:v>
      </x:c>
      <x:c r="B8" s="26" t="str">
        <x:v>P3</x:v>
      </x:c>
      <x:c r="C8" s="26" t="str">
        <x:v>Failed</x:v>
      </x:c>
      <x:c r="D8" s="26" t="str"/>
      <x:c r="E8" s="26" t="str">
        <x:v>Partial</x:v>
      </x:c>
      <x:c r="F8" s="26" t="str"/>
    </x:row>
    <x:row r="9">
      <x:c r="A9" s="26" t="str">
        <x:v>Done</x:v>
      </x:c>
      <x:c r="B9" s="26" t="str"/>
      <x:c r="C9" s="26" t="str"/>
      <x:c r="D9" s="26" t="str"/>
      <x:c r="E9" s="26" t="str">
        <x:v>Ready for Demo</x:v>
      </x:c>
      <x:c r="F9" s="26" t="str"/>
    </x:row>
    <x:row r="10">
      <x:c r="A10" s="26" t="str">
        <x:v>Blocked</x:v>
      </x:c>
      <x:c r="B10" s="26" t="str"/>
      <x:c r="C10" s="26" t="str"/>
      <x:c r="D10" s="26" t="str"/>
      <x:c r="E10" s="26" t="str"/>
      <x:c r="F10" s="26" t="str"/>
    </x:row>
    <x:row r="11">
      <x:c r="A11" s="26" t="str">
        <x:v>Failed</x:v>
      </x:c>
      <x:c r="B11" s="26" t="str"/>
      <x:c r="C11" s="26" t="str"/>
      <x:c r="D11" s="26" t="str"/>
      <x:c r="E11" s="26" t="str"/>
      <x:c r="F11" s="26" t="str"/>
    </x:row>
    <x:row r="12">
      <x:c r="A12" s="26" t="str">
        <x:v>Paused</x:v>
      </x:c>
      <x:c r="B12" s="26" t="str"/>
      <x:c r="C12" s="26" t="str"/>
      <x:c r="D12" s="26" t="str"/>
      <x:c r="E12" s="26" t="str"/>
      <x:c r="F12" s="26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09bafaf05b4654"/>
  </x:tableParts>
</x:worksheet>
</file>